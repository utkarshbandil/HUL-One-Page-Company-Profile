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jpeg" ContentType="image/jpeg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0" yWindow="500" windowWidth="19420" windowHeight="11020" tabRatio="621"/>
  </bookViews>
  <sheets>
    <sheet name="One Page Profile" sheetId="7" r:id="rId1"/>
    <sheet name="Data&gt;" sheetId="11" r:id="rId2"/>
    <sheet name="Data Sheet" sheetId="6" r:id="rId3"/>
    <sheet name="Profit &amp; Loss" sheetId="1" r:id="rId4"/>
    <sheet name="Quarters" sheetId="3" r:id="rId5"/>
    <sheet name="Cash Flow" sheetId="4" r:id="rId6"/>
    <sheet name="Balance Sheet" sheetId="2" r:id="rId7"/>
    <sheet name="Input Sheet" sheetId="9" r:id="rId8"/>
    <sheet name="Raw Data" sheetId="10" r:id="rId9"/>
  </sheets>
  <definedNames>
    <definedName name="_xlnm._FilterDatabase" localSheetId="8" hidden="1">'Raw Data'!$B$2:$E$2</definedName>
    <definedName name="_xlnm.Print_Area" localSheetId="0">'One Page Profile'!$A$1:$L$59</definedName>
    <definedName name="UPDATE">'Data Sheet'!$E$1</definedName>
  </definedNames>
  <calcPr calcId="125725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42" i="7"/>
  <c r="K46"/>
  <c r="K45"/>
  <c r="K43"/>
  <c r="H1174" i="10"/>
  <c r="F30" i="7"/>
  <c r="F31"/>
  <c r="F32"/>
  <c r="F33"/>
  <c r="F34"/>
  <c r="F35"/>
  <c r="F36"/>
  <c r="F37"/>
  <c r="F38"/>
  <c r="F29"/>
  <c r="E30"/>
  <c r="E31"/>
  <c r="E32"/>
  <c r="E33"/>
  <c r="E34"/>
  <c r="E35"/>
  <c r="E36"/>
  <c r="E37"/>
  <c r="E38"/>
  <c r="E29"/>
  <c r="C30"/>
  <c r="C31"/>
  <c r="C32"/>
  <c r="C33"/>
  <c r="C34"/>
  <c r="C35"/>
  <c r="C36"/>
  <c r="C37"/>
  <c r="C38"/>
  <c r="C29"/>
  <c r="B38"/>
  <c r="B37"/>
  <c r="B36"/>
  <c r="B35"/>
  <c r="B34"/>
  <c r="B33"/>
  <c r="B32"/>
  <c r="B31"/>
  <c r="B30"/>
  <c r="B29"/>
  <c r="J1162" i="10"/>
  <c r="J1168"/>
  <c r="J1167"/>
  <c r="J1166"/>
  <c r="J1165"/>
  <c r="J1164"/>
  <c r="J1163"/>
  <c r="J1161"/>
  <c r="J1160"/>
  <c r="J1159"/>
  <c r="G26" i="7"/>
  <c r="F26"/>
  <c r="E26"/>
  <c r="D26"/>
  <c r="C26"/>
  <c r="G25"/>
  <c r="F25"/>
  <c r="E25"/>
  <c r="D25"/>
  <c r="C25"/>
  <c r="G24"/>
  <c r="F24"/>
  <c r="E24"/>
  <c r="D24"/>
  <c r="C24"/>
  <c r="G23"/>
  <c r="F23"/>
  <c r="E23"/>
  <c r="D23"/>
  <c r="C23"/>
  <c r="G22"/>
  <c r="F22"/>
  <c r="E22"/>
  <c r="D22"/>
  <c r="C22"/>
  <c r="G21"/>
  <c r="F21"/>
  <c r="E21"/>
  <c r="D21"/>
  <c r="C21"/>
  <c r="K46" i="1"/>
  <c r="J46"/>
  <c r="I46"/>
  <c r="H46"/>
  <c r="G46"/>
  <c r="F46"/>
  <c r="E46"/>
  <c r="D46"/>
  <c r="C46"/>
  <c r="B46"/>
  <c r="K26" i="2"/>
  <c r="J26"/>
  <c r="I26"/>
  <c r="H26"/>
  <c r="G26"/>
  <c r="F26"/>
  <c r="E26"/>
  <c r="D26"/>
  <c r="C26"/>
  <c r="B26"/>
  <c r="K44" i="1"/>
  <c r="J44"/>
  <c r="I44"/>
  <c r="H44"/>
  <c r="G44"/>
  <c r="F44"/>
  <c r="E44"/>
  <c r="D44"/>
  <c r="C44"/>
  <c r="B44"/>
  <c r="K43"/>
  <c r="J43"/>
  <c r="I43"/>
  <c r="H43"/>
  <c r="G43"/>
  <c r="F43"/>
  <c r="E43"/>
  <c r="D43"/>
  <c r="C43"/>
  <c r="B43"/>
  <c r="K41"/>
  <c r="J41"/>
  <c r="I41"/>
  <c r="H41"/>
  <c r="G41"/>
  <c r="F41"/>
  <c r="E41"/>
  <c r="D41"/>
  <c r="C41"/>
  <c r="B41"/>
  <c r="K40"/>
  <c r="J40"/>
  <c r="I40"/>
  <c r="H40"/>
  <c r="G40"/>
  <c r="F40"/>
  <c r="E40"/>
  <c r="D40"/>
  <c r="C40"/>
  <c r="B40"/>
  <c r="K39"/>
  <c r="J39"/>
  <c r="I39"/>
  <c r="H39"/>
  <c r="G39"/>
  <c r="F39"/>
  <c r="E39"/>
  <c r="D39"/>
  <c r="C39"/>
  <c r="B39"/>
  <c r="K38"/>
  <c r="J38"/>
  <c r="I38"/>
  <c r="H38"/>
  <c r="G38"/>
  <c r="F38"/>
  <c r="E38"/>
  <c r="D38"/>
  <c r="C38"/>
  <c r="B38"/>
  <c r="K29"/>
  <c r="J29"/>
  <c r="I29"/>
  <c r="H29"/>
  <c r="G29"/>
  <c r="F29"/>
  <c r="E29"/>
  <c r="D29"/>
  <c r="C29"/>
  <c r="B29"/>
  <c r="G8" i="7"/>
  <c r="F8"/>
  <c r="E8"/>
  <c r="D8"/>
  <c r="C8"/>
  <c r="G6"/>
  <c r="F6"/>
  <c r="E6"/>
  <c r="D6"/>
  <c r="C6"/>
  <c r="C19" s="1"/>
  <c r="D19" s="1"/>
  <c r="E19" s="1"/>
  <c r="F19" s="1"/>
  <c r="G19" s="1"/>
  <c r="C4"/>
  <c r="B2"/>
  <c r="K44" l="1"/>
  <c r="K47" s="1"/>
  <c r="E30" i="1"/>
  <c r="I30"/>
  <c r="E10" i="7" s="1"/>
  <c r="C6" i="3"/>
  <c r="D6"/>
  <c r="E6"/>
  <c r="F6"/>
  <c r="G6"/>
  <c r="H6"/>
  <c r="H14" s="1"/>
  <c r="I6"/>
  <c r="J6"/>
  <c r="K6"/>
  <c r="B6"/>
  <c r="C5" i="1"/>
  <c r="D5"/>
  <c r="E5"/>
  <c r="F5"/>
  <c r="G5"/>
  <c r="H5"/>
  <c r="I5"/>
  <c r="J5"/>
  <c r="K5"/>
  <c r="B5"/>
  <c r="B6" i="6"/>
  <c r="C17" i="2"/>
  <c r="D17"/>
  <c r="E17"/>
  <c r="F17"/>
  <c r="G17"/>
  <c r="H17"/>
  <c r="I17"/>
  <c r="J17"/>
  <c r="J20" s="1"/>
  <c r="K17"/>
  <c r="C18"/>
  <c r="D18"/>
  <c r="E18"/>
  <c r="E21" s="1"/>
  <c r="F18"/>
  <c r="G18"/>
  <c r="H18"/>
  <c r="I18"/>
  <c r="I21" s="1"/>
  <c r="J18"/>
  <c r="K18"/>
  <c r="B17"/>
  <c r="C4"/>
  <c r="C23" s="1"/>
  <c r="D4"/>
  <c r="D23" s="1"/>
  <c r="E4"/>
  <c r="E5"/>
  <c r="F4"/>
  <c r="F23" s="1"/>
  <c r="G4"/>
  <c r="G23" s="1"/>
  <c r="H4"/>
  <c r="I4"/>
  <c r="I5"/>
  <c r="J4"/>
  <c r="J5"/>
  <c r="K4"/>
  <c r="C5"/>
  <c r="D5"/>
  <c r="F5"/>
  <c r="G5"/>
  <c r="H5"/>
  <c r="H23" s="1"/>
  <c r="K5"/>
  <c r="C6"/>
  <c r="D6"/>
  <c r="E6"/>
  <c r="F6"/>
  <c r="G6"/>
  <c r="H6"/>
  <c r="I6"/>
  <c r="J6"/>
  <c r="K6"/>
  <c r="C7"/>
  <c r="D7"/>
  <c r="D16" s="1"/>
  <c r="E7"/>
  <c r="F7"/>
  <c r="G7"/>
  <c r="H7"/>
  <c r="I7"/>
  <c r="J7"/>
  <c r="K7"/>
  <c r="C8"/>
  <c r="D8"/>
  <c r="E8"/>
  <c r="F8"/>
  <c r="G8"/>
  <c r="H8"/>
  <c r="I8"/>
  <c r="J8"/>
  <c r="K8"/>
  <c r="C10"/>
  <c r="D10"/>
  <c r="E10"/>
  <c r="F10"/>
  <c r="G10"/>
  <c r="H10"/>
  <c r="I10"/>
  <c r="J10"/>
  <c r="K10"/>
  <c r="C11"/>
  <c r="D11"/>
  <c r="E11"/>
  <c r="F11"/>
  <c r="G11"/>
  <c r="H11"/>
  <c r="I11"/>
  <c r="J11"/>
  <c r="K11"/>
  <c r="C12"/>
  <c r="D12"/>
  <c r="E12"/>
  <c r="F12"/>
  <c r="G12"/>
  <c r="H12"/>
  <c r="I12"/>
  <c r="J12"/>
  <c r="K12"/>
  <c r="C13"/>
  <c r="C16" s="1"/>
  <c r="D13"/>
  <c r="E13"/>
  <c r="F13"/>
  <c r="G13"/>
  <c r="H13"/>
  <c r="I13"/>
  <c r="J13"/>
  <c r="K13"/>
  <c r="C14"/>
  <c r="D14"/>
  <c r="E14"/>
  <c r="F14"/>
  <c r="G14"/>
  <c r="H14"/>
  <c r="I14"/>
  <c r="J14"/>
  <c r="K14"/>
  <c r="B14"/>
  <c r="B5"/>
  <c r="B4"/>
  <c r="C4" i="4"/>
  <c r="D4"/>
  <c r="E4"/>
  <c r="F4"/>
  <c r="G4"/>
  <c r="H4"/>
  <c r="I4"/>
  <c r="J4"/>
  <c r="K4"/>
  <c r="C5"/>
  <c r="D5"/>
  <c r="E5"/>
  <c r="F5"/>
  <c r="G5"/>
  <c r="H5"/>
  <c r="I5"/>
  <c r="J5"/>
  <c r="K5"/>
  <c r="C6"/>
  <c r="D6"/>
  <c r="E6"/>
  <c r="F6"/>
  <c r="G6"/>
  <c r="H6"/>
  <c r="I6"/>
  <c r="J6"/>
  <c r="K6"/>
  <c r="C7"/>
  <c r="D7"/>
  <c r="E7"/>
  <c r="F7"/>
  <c r="G7"/>
  <c r="H7"/>
  <c r="I7"/>
  <c r="J7"/>
  <c r="K7"/>
  <c r="C4" i="3"/>
  <c r="D4"/>
  <c r="E4"/>
  <c r="F4"/>
  <c r="G4"/>
  <c r="G14" s="1"/>
  <c r="H4"/>
  <c r="I4"/>
  <c r="J4"/>
  <c r="J14" s="1"/>
  <c r="K4"/>
  <c r="C5"/>
  <c r="D5"/>
  <c r="E5"/>
  <c r="F5"/>
  <c r="G5"/>
  <c r="H5"/>
  <c r="I5"/>
  <c r="L5" i="1" s="1"/>
  <c r="J5" i="3"/>
  <c r="K5"/>
  <c r="C7"/>
  <c r="D7"/>
  <c r="E7"/>
  <c r="F7"/>
  <c r="G7"/>
  <c r="H7"/>
  <c r="I7"/>
  <c r="J7"/>
  <c r="K7"/>
  <c r="C8"/>
  <c r="D8"/>
  <c r="E8"/>
  <c r="F8"/>
  <c r="G8"/>
  <c r="H8"/>
  <c r="I8"/>
  <c r="J8"/>
  <c r="K8"/>
  <c r="C9"/>
  <c r="D9"/>
  <c r="E9"/>
  <c r="F9"/>
  <c r="G9"/>
  <c r="H9"/>
  <c r="I9"/>
  <c r="J9"/>
  <c r="K9"/>
  <c r="C10"/>
  <c r="D10"/>
  <c r="E10"/>
  <c r="F10"/>
  <c r="G10"/>
  <c r="H10"/>
  <c r="I10"/>
  <c r="L10" i="1" s="1"/>
  <c r="J10" i="3"/>
  <c r="K10"/>
  <c r="C11"/>
  <c r="D11"/>
  <c r="E11"/>
  <c r="F11"/>
  <c r="G11"/>
  <c r="H11"/>
  <c r="L11" i="1" s="1"/>
  <c r="I11" i="3"/>
  <c r="J11"/>
  <c r="K11"/>
  <c r="C12"/>
  <c r="D12"/>
  <c r="E12"/>
  <c r="F12"/>
  <c r="G12"/>
  <c r="H12"/>
  <c r="I12"/>
  <c r="J12"/>
  <c r="K12"/>
  <c r="L12" i="1" s="1"/>
  <c r="L13" s="1"/>
  <c r="L14" s="1"/>
  <c r="L25" s="1"/>
  <c r="B5" i="3"/>
  <c r="C18" i="1"/>
  <c r="D18"/>
  <c r="E18"/>
  <c r="F18"/>
  <c r="G18"/>
  <c r="H18"/>
  <c r="I18"/>
  <c r="J18"/>
  <c r="K18"/>
  <c r="B18"/>
  <c r="C4"/>
  <c r="D4"/>
  <c r="D30" s="1"/>
  <c r="E4"/>
  <c r="F4"/>
  <c r="G4"/>
  <c r="H4"/>
  <c r="I4"/>
  <c r="J4"/>
  <c r="K4"/>
  <c r="I23" s="1"/>
  <c r="C7"/>
  <c r="D7"/>
  <c r="E7"/>
  <c r="F7"/>
  <c r="G7"/>
  <c r="H7"/>
  <c r="I7"/>
  <c r="J7"/>
  <c r="K7"/>
  <c r="C8"/>
  <c r="D8"/>
  <c r="E8"/>
  <c r="F8"/>
  <c r="G8"/>
  <c r="H8"/>
  <c r="I8"/>
  <c r="J8"/>
  <c r="K8"/>
  <c r="C9"/>
  <c r="D9"/>
  <c r="E9"/>
  <c r="F9"/>
  <c r="G9"/>
  <c r="H9"/>
  <c r="I9"/>
  <c r="J9"/>
  <c r="K9"/>
  <c r="C10"/>
  <c r="D10"/>
  <c r="E10"/>
  <c r="F10"/>
  <c r="G10"/>
  <c r="H10"/>
  <c r="I10"/>
  <c r="J10"/>
  <c r="K10"/>
  <c r="C11"/>
  <c r="D11"/>
  <c r="E11"/>
  <c r="F11"/>
  <c r="G11"/>
  <c r="H11"/>
  <c r="I11"/>
  <c r="J11"/>
  <c r="K11"/>
  <c r="C12"/>
  <c r="D12"/>
  <c r="E12"/>
  <c r="F12"/>
  <c r="G12"/>
  <c r="H12"/>
  <c r="I12"/>
  <c r="J12"/>
  <c r="K12"/>
  <c r="C15"/>
  <c r="D15"/>
  <c r="E15"/>
  <c r="F15"/>
  <c r="G15"/>
  <c r="H15"/>
  <c r="I15"/>
  <c r="J15"/>
  <c r="K15"/>
  <c r="B15"/>
  <c r="H13"/>
  <c r="B7"/>
  <c r="B4"/>
  <c r="A1"/>
  <c r="A1" i="2" s="1"/>
  <c r="A1" i="4" s="1"/>
  <c r="E1" i="6"/>
  <c r="H1" i="1" s="1"/>
  <c r="E1" i="2"/>
  <c r="E1" i="3"/>
  <c r="H16" i="2"/>
  <c r="K16"/>
  <c r="F16"/>
  <c r="E6" i="1"/>
  <c r="I6"/>
  <c r="J6"/>
  <c r="B6"/>
  <c r="C3" i="4"/>
  <c r="D3"/>
  <c r="E3"/>
  <c r="F3"/>
  <c r="G3"/>
  <c r="H3"/>
  <c r="I3"/>
  <c r="J3"/>
  <c r="K3"/>
  <c r="C3" i="2"/>
  <c r="D3"/>
  <c r="E3"/>
  <c r="F3"/>
  <c r="G3"/>
  <c r="H3"/>
  <c r="I3"/>
  <c r="J3"/>
  <c r="K3"/>
  <c r="C3" i="3"/>
  <c r="D3"/>
  <c r="E3"/>
  <c r="F3"/>
  <c r="G3"/>
  <c r="H3"/>
  <c r="I3"/>
  <c r="J3"/>
  <c r="K3"/>
  <c r="C3" i="1"/>
  <c r="D3"/>
  <c r="E3"/>
  <c r="F3"/>
  <c r="G3"/>
  <c r="H3"/>
  <c r="I3"/>
  <c r="J3"/>
  <c r="K3"/>
  <c r="B7" i="4"/>
  <c r="B6"/>
  <c r="B5"/>
  <c r="B4"/>
  <c r="B3"/>
  <c r="J21" i="2"/>
  <c r="F21"/>
  <c r="B18"/>
  <c r="B21" s="1"/>
  <c r="B13"/>
  <c r="B12"/>
  <c r="B11"/>
  <c r="B10"/>
  <c r="B8"/>
  <c r="B7"/>
  <c r="B6"/>
  <c r="B3"/>
  <c r="F14" i="3"/>
  <c r="B12"/>
  <c r="B11"/>
  <c r="B10"/>
  <c r="B9"/>
  <c r="B8"/>
  <c r="B7"/>
  <c r="B4"/>
  <c r="B3"/>
  <c r="L15" i="1"/>
  <c r="B12"/>
  <c r="B11"/>
  <c r="B10"/>
  <c r="B9"/>
  <c r="B8"/>
  <c r="B3"/>
  <c r="E14" i="3"/>
  <c r="I14"/>
  <c r="K20" i="2"/>
  <c r="D20"/>
  <c r="E20"/>
  <c r="L6" i="1"/>
  <c r="H23"/>
  <c r="N11" l="1"/>
  <c r="M11"/>
  <c r="E31"/>
  <c r="E33"/>
  <c r="I13"/>
  <c r="I32"/>
  <c r="E13" i="7" s="1"/>
  <c r="G30" i="1"/>
  <c r="C10" i="7" s="1"/>
  <c r="G27" i="1"/>
  <c r="C9" i="7" s="1"/>
  <c r="H27" i="1"/>
  <c r="D9" i="7" s="1"/>
  <c r="K27" i="1"/>
  <c r="G9" i="7" s="1"/>
  <c r="K30" i="1"/>
  <c r="G10" i="7" s="1"/>
  <c r="C27" i="1"/>
  <c r="C30"/>
  <c r="B19"/>
  <c r="B33"/>
  <c r="B31"/>
  <c r="J33"/>
  <c r="F12" i="7" s="1"/>
  <c r="J31" i="1"/>
  <c r="F11" i="7" s="1"/>
  <c r="H34" i="1"/>
  <c r="D15" i="7" s="1"/>
  <c r="H35" i="1"/>
  <c r="D14" i="7"/>
  <c r="F13" i="1"/>
  <c r="F32"/>
  <c r="B23" i="2"/>
  <c r="B32" i="1"/>
  <c r="K13"/>
  <c r="K32"/>
  <c r="G13" i="7" s="1"/>
  <c r="G13" i="1"/>
  <c r="G32"/>
  <c r="C13" i="7" s="1"/>
  <c r="C13" i="1"/>
  <c r="C32"/>
  <c r="L4"/>
  <c r="L23" s="1"/>
  <c r="G6"/>
  <c r="E19"/>
  <c r="C14" i="3"/>
  <c r="J23" i="1"/>
  <c r="A1" i="3"/>
  <c r="D21" i="2"/>
  <c r="H21"/>
  <c r="C6" i="1"/>
  <c r="J19"/>
  <c r="I27"/>
  <c r="E9" i="7" s="1"/>
  <c r="E27" i="1"/>
  <c r="L9"/>
  <c r="L8"/>
  <c r="L7"/>
  <c r="D14" i="3"/>
  <c r="E16" i="2"/>
  <c r="I19" i="1"/>
  <c r="I31"/>
  <c r="E11" i="7" s="1"/>
  <c r="I33" i="1"/>
  <c r="E12" i="7" s="1"/>
  <c r="E23" i="2"/>
  <c r="E32" i="1"/>
  <c r="J13"/>
  <c r="J32"/>
  <c r="F13" i="7" s="1"/>
  <c r="B20" i="2"/>
  <c r="B30" i="1"/>
  <c r="J27"/>
  <c r="F9" i="7" s="1"/>
  <c r="J30" i="1"/>
  <c r="F10" i="7" s="1"/>
  <c r="F20" i="2"/>
  <c r="F30" i="1"/>
  <c r="F27"/>
  <c r="D27"/>
  <c r="K14" i="3"/>
  <c r="C20" i="2"/>
  <c r="G20"/>
  <c r="B14" i="3"/>
  <c r="C21" i="2"/>
  <c r="G21"/>
  <c r="K21"/>
  <c r="D6" i="1"/>
  <c r="K6"/>
  <c r="H32"/>
  <c r="D13" i="7" s="1"/>
  <c r="D32" i="1"/>
  <c r="I23" i="2"/>
  <c r="H30" i="1"/>
  <c r="D10" i="7" s="1"/>
  <c r="K23" i="2"/>
  <c r="I14" i="1"/>
  <c r="C24" i="2"/>
  <c r="H24"/>
  <c r="F24"/>
  <c r="I16"/>
  <c r="K24"/>
  <c r="I24"/>
  <c r="B13" i="1"/>
  <c r="J23" i="2"/>
  <c r="J24"/>
  <c r="D24"/>
  <c r="L19" i="1"/>
  <c r="L24" s="1"/>
  <c r="B16" i="2"/>
  <c r="H14" i="1"/>
  <c r="J16" i="2"/>
  <c r="G16"/>
  <c r="G24"/>
  <c r="E24"/>
  <c r="D13" i="1"/>
  <c r="M9"/>
  <c r="N9"/>
  <c r="N8"/>
  <c r="M8"/>
  <c r="I20" i="2"/>
  <c r="H20"/>
  <c r="K23" i="1"/>
  <c r="M23" s="1"/>
  <c r="M4" s="1"/>
  <c r="H6"/>
  <c r="F6"/>
  <c r="E1" i="4"/>
  <c r="K24" i="1" l="1"/>
  <c r="M24" s="1"/>
  <c r="M6" s="1"/>
  <c r="M10" s="1"/>
  <c r="M12" s="1"/>
  <c r="M13" s="1"/>
  <c r="M15" s="1"/>
  <c r="E13"/>
  <c r="D35"/>
  <c r="D34"/>
  <c r="B14"/>
  <c r="B35"/>
  <c r="G19"/>
  <c r="G33"/>
  <c r="C12" i="7" s="1"/>
  <c r="G31" i="1"/>
  <c r="C11" i="7" s="1"/>
  <c r="E14"/>
  <c r="I34" i="1"/>
  <c r="E15" i="7" s="1"/>
  <c r="I35" i="1"/>
  <c r="J14"/>
  <c r="J34"/>
  <c r="F15" i="7" s="1"/>
  <c r="J35" i="1"/>
  <c r="F14" i="7"/>
  <c r="C14" i="1"/>
  <c r="C35"/>
  <c r="C36" s="1"/>
  <c r="C34"/>
  <c r="K14"/>
  <c r="K35"/>
  <c r="G14" i="7"/>
  <c r="K34" i="1"/>
  <c r="G15" i="7" s="1"/>
  <c r="F14" i="1"/>
  <c r="F34"/>
  <c r="F35"/>
  <c r="K25"/>
  <c r="M25" s="1"/>
  <c r="M14" s="1"/>
  <c r="H19"/>
  <c r="H31"/>
  <c r="D11" i="7" s="1"/>
  <c r="H33" i="1"/>
  <c r="D12" i="7" s="1"/>
  <c r="D31" i="1"/>
  <c r="D33"/>
  <c r="D19"/>
  <c r="F19"/>
  <c r="F33"/>
  <c r="F31"/>
  <c r="K33"/>
  <c r="G12" i="7" s="1"/>
  <c r="K31" i="1"/>
  <c r="G11" i="7" s="1"/>
  <c r="K19" i="1"/>
  <c r="C19"/>
  <c r="C33"/>
  <c r="C31"/>
  <c r="G14"/>
  <c r="G35"/>
  <c r="C14" i="7"/>
  <c r="G34" i="1"/>
  <c r="C15" i="7" s="1"/>
  <c r="D16"/>
  <c r="H36" i="1"/>
  <c r="D17" i="7" s="1"/>
  <c r="N23" i="1"/>
  <c r="N4" s="1"/>
  <c r="D14"/>
  <c r="E14" l="1"/>
  <c r="E35"/>
  <c r="E36" s="1"/>
  <c r="E34"/>
  <c r="H24"/>
  <c r="F36"/>
  <c r="K36"/>
  <c r="G17" i="7" s="1"/>
  <c r="G16"/>
  <c r="J36" i="1"/>
  <c r="F17" i="7" s="1"/>
  <c r="F16"/>
  <c r="J25" i="1"/>
  <c r="J24"/>
  <c r="D36"/>
  <c r="G36"/>
  <c r="C17" i="7" s="1"/>
  <c r="C16"/>
  <c r="E16"/>
  <c r="I36" i="1"/>
  <c r="E17" i="7" s="1"/>
  <c r="I24" i="1"/>
  <c r="M5"/>
  <c r="I25" l="1"/>
  <c r="H25"/>
  <c r="N25" s="1"/>
  <c r="N14" s="1"/>
  <c r="N24"/>
  <c r="N6" s="1"/>
  <c r="N10" l="1"/>
  <c r="N12" s="1"/>
  <c r="N13" s="1"/>
  <c r="N15" s="1"/>
  <c r="N5"/>
</calcChain>
</file>

<file path=xl/sharedStrings.xml><?xml version="1.0" encoding="utf-8"?>
<sst xmlns="http://schemas.openxmlformats.org/spreadsheetml/2006/main" count="295" uniqueCount="214">
  <si>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</si>
  <si>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</si>
  <si>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</si>
  <si>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</si>
  <si>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</si>
  <si>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</si>
  <si>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</si>
  <si>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</si>
  <si>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</si>
  <si>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</si>
  <si>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</si>
  <si>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</si>
  <si>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</si>
  <si>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</si>
  <si>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</si>
  <si>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</si>
  <si>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</si>
  <si>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</si>
  <si>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</si>
  <si>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</si>
  <si>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</si>
  <si>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</si>
  <si>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</si>
  <si>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</si>
  <si>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</si>
  <si>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</si>
  <si>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</si>
  <si>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</si>
  <si>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</si>
  <si>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</si>
  <si>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</si>
  <si>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</si>
  <si>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</si>
  <si>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</si>
  <si>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</si>
  <si>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</si>
  <si>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</si>
  <si>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</si>
  <si>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</si>
  <si>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</si>
  <si>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</si>
  <si>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</si>
  <si>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</si>
  <si>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</si>
  <si>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</si>
  <si>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</si>
  <si>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</si>
  <si>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</si>
  <si>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</si>
  <si>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</si>
  <si>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</si>
  <si>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</si>
  <si>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</si>
  <si>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</si>
  <si>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HINDUSTAN UNILEVER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</si>
  <si>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</si>
  <si>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</si>
  <si>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</si>
  <si>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</si>
  <si>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</si>
  <si>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</si>
  <si>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</si>
  <si>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</si>
  <si>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</si>
  <si>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</si>
  <si>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</si>
  <si>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</si>
  <si>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</si>
  <si>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</si>
  <si>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</si>
  <si>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</si>
  <si>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</si>
  <si>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</si>
  <si>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</si>
  <si>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</si>
  <si>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</si>
  <si>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</si>
  <si>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</si>
  <si>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</si>
  <si>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</si>
  <si>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</si>
  <si>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Company Description</t>
  </si>
  <si>
    <t xml:space="preserve">Hindustan Unilever Limited (HUL) is an Indian fast-moving consumer goods company, headquartered in Mumbai. It is a subsidiary of the Anglo-Dutch company Unilever. Its products include foods, beverages, cleaning agents, personal care products and other consumer staples.
</t>
  </si>
  <si>
    <t>Key Financial Metrics</t>
  </si>
  <si>
    <t>Total Sales</t>
  </si>
  <si>
    <r>
      <rPr>
        <i/>
        <sz val="8"/>
        <color theme="1"/>
        <rFont val="Calibri"/>
        <family val="2"/>
        <scheme val="minor"/>
      </rPr>
      <t>INR(Crs</t>
    </r>
    <r>
      <rPr>
        <sz val="11"/>
        <color theme="1"/>
        <rFont val="Calibri"/>
        <family val="2"/>
        <scheme val="minor"/>
      </rPr>
      <t>)</t>
    </r>
  </si>
  <si>
    <t>Sales Growth (y-o-y)</t>
  </si>
  <si>
    <t>Sales Growth (y-oy)</t>
  </si>
  <si>
    <t>Gross Profit</t>
  </si>
  <si>
    <t>Gross Margin</t>
  </si>
  <si>
    <t>Gross Profit Margins(%)</t>
  </si>
  <si>
    <t>EBIDTA</t>
  </si>
  <si>
    <t>EBIDTA Margins(%)</t>
  </si>
  <si>
    <t>EBIT Margins (%)</t>
  </si>
  <si>
    <t>EBIT MARGINS</t>
  </si>
  <si>
    <t>Net Margins</t>
  </si>
  <si>
    <t>Net Profit Margins (%)</t>
  </si>
  <si>
    <t>Earning Per Share (in Rs)</t>
  </si>
  <si>
    <t>EPS Growth (y-o-y)</t>
  </si>
  <si>
    <t>EPS growth</t>
  </si>
  <si>
    <t>Divident per share</t>
  </si>
  <si>
    <t>Divident Growth Rate</t>
  </si>
  <si>
    <t>Divident Per Share (in Rs)</t>
  </si>
  <si>
    <t>DPS Growth (y-o-y)</t>
  </si>
  <si>
    <t>Date</t>
  </si>
  <si>
    <t>Share Price-5year</t>
  </si>
  <si>
    <t>Market Capitalisation</t>
  </si>
  <si>
    <t>Debt</t>
  </si>
  <si>
    <t>Cash</t>
  </si>
  <si>
    <t>EV</t>
  </si>
  <si>
    <t>EV/ EBIDTA</t>
  </si>
  <si>
    <t>EV/Sales</t>
  </si>
  <si>
    <t>Book Value</t>
  </si>
  <si>
    <t xml:space="preserve">P/B </t>
  </si>
  <si>
    <t>Key Financial Ratios</t>
  </si>
  <si>
    <t xml:space="preserve">Price to Earning </t>
  </si>
  <si>
    <t>EV/EBIDTA</t>
  </si>
  <si>
    <t>Price to Book Value</t>
  </si>
  <si>
    <t>Return on Equity(%)</t>
  </si>
  <si>
    <t>Return on Capital Employed(%)</t>
  </si>
  <si>
    <t>Volumes - 5year</t>
  </si>
  <si>
    <t>VOL</t>
  </si>
  <si>
    <t>Shareholder's name</t>
  </si>
  <si>
    <t>Total Shares Held</t>
  </si>
  <si>
    <t>Shareholding (%)</t>
  </si>
  <si>
    <t>UNILEVER PLC</t>
  </si>
  <si>
    <t>LIFE INSURANCE CORPORATION OF INDIA</t>
  </si>
  <si>
    <t>UNILEVER GROUP LIMITED</t>
  </si>
  <si>
    <t>UNILEVER OVERSEAS HOLDINGS AG</t>
  </si>
  <si>
    <t>UNILEVER UK&amp;CN HOLDINGS LIMITED</t>
  </si>
  <si>
    <t>UNILEVER SOUTH INDIA ESTATES LIMITED</t>
  </si>
  <si>
    <t>SBI ESG EXCLUSIONARY STRATEGY FUND</t>
  </si>
  <si>
    <t>ICICI PRUDENTIAL SENSEX ETF</t>
  </si>
  <si>
    <t>UNILEVER ASSAM ESTATES LIMITED</t>
  </si>
  <si>
    <t>UNILEVER OVERSEAS HOLDINGS B V</t>
  </si>
  <si>
    <t>Top 10 Share Holders</t>
  </si>
  <si>
    <t>Market Value</t>
  </si>
  <si>
    <t>Market Value(in cr.)</t>
  </si>
  <si>
    <t xml:space="preserve"> %Holding</t>
  </si>
  <si>
    <r>
      <t xml:space="preserve">No. Share Held </t>
    </r>
    <r>
      <rPr>
        <b/>
        <sz val="11"/>
        <color theme="0"/>
        <rFont val="Calibri"/>
        <family val="2"/>
        <scheme val="minor"/>
      </rPr>
      <t>(in cr.)</t>
    </r>
  </si>
  <si>
    <t>FII</t>
  </si>
  <si>
    <t>Promoter</t>
  </si>
  <si>
    <t>DII</t>
  </si>
  <si>
    <t>Public &amp; Government</t>
  </si>
  <si>
    <t>Share Holding-Pattern</t>
  </si>
  <si>
    <t>Capital Structure</t>
  </si>
  <si>
    <t>Number of Shares o/s</t>
  </si>
  <si>
    <t>Less: Cash &amp; Equivalents</t>
  </si>
  <si>
    <t>Add : Total Debt</t>
  </si>
  <si>
    <t>Enterprise Value</t>
  </si>
  <si>
    <t xml:space="preserve">Name of </t>
  </si>
  <si>
    <t>Director/KMP</t>
  </si>
  <si>
    <t>Nitin Paranjpe@</t>
  </si>
  <si>
    <t>Rohit Jawa</t>
  </si>
  <si>
    <t>Ritesh Tiwari</t>
  </si>
  <si>
    <t>BP Biddappa*</t>
  </si>
  <si>
    <t>Dev Bajpai#</t>
  </si>
  <si>
    <t>Leo Puri</t>
  </si>
  <si>
    <t>Ashu Suyash</t>
  </si>
  <si>
    <t>Ranjay Gulati</t>
  </si>
  <si>
    <t>Neelam Dhawan</t>
  </si>
  <si>
    <t>Tarun Bajaj</t>
  </si>
  <si>
    <t>O.P. Bhatt</t>
  </si>
  <si>
    <t>Sanjiv Misra</t>
  </si>
  <si>
    <t>Designation</t>
  </si>
  <si>
    <t>Chairman</t>
  </si>
  <si>
    <t xml:space="preserve">Chief Executive Officer and Managing Director </t>
  </si>
  <si>
    <t>Executive Director, Finance, IT and CFO</t>
  </si>
  <si>
    <t xml:space="preserve">Executive Director and Chief People, </t>
  </si>
  <si>
    <t xml:space="preserve">Transformation and Sustainability Officer </t>
  </si>
  <si>
    <t xml:space="preserve">Executive Director, Legal and Corporate Affairs </t>
  </si>
  <si>
    <t>and Company Secretary</t>
  </si>
  <si>
    <t>Independent Director</t>
  </si>
  <si>
    <t xml:space="preserve">Ratio of </t>
  </si>
  <si>
    <t xml:space="preserve">remuneration </t>
  </si>
  <si>
    <t xml:space="preserve">of each Director </t>
  </si>
  <si>
    <t xml:space="preserve">to median </t>
  </si>
  <si>
    <t xml:space="preserve">remuneration of </t>
  </si>
  <si>
    <t>Employees</t>
  </si>
  <si>
    <t>N.A.</t>
  </si>
  <si>
    <t xml:space="preserve">Percentage increase in </t>
  </si>
  <si>
    <t>Remuneration</t>
  </si>
  <si>
    <t>Not comparable**</t>
  </si>
  <si>
    <t>142.70^</t>
  </si>
  <si>
    <t>122.66^</t>
  </si>
  <si>
    <t>109^</t>
  </si>
  <si>
    <t>Kalpana Morparia Independent Director</t>
  </si>
  <si>
    <t>Radhika Shah</t>
  </si>
  <si>
    <t>Company Secretary &amp; Compliance Officer</t>
  </si>
  <si>
    <t xml:space="preserve">Name </t>
  </si>
  <si>
    <t>BP Biddappa</t>
  </si>
  <si>
    <t>Dev Bajpai</t>
  </si>
  <si>
    <t>X of Median Salary</t>
  </si>
  <si>
    <t>Ceo &amp; MD</t>
  </si>
  <si>
    <t>Ex. Director &amp; CFO</t>
  </si>
  <si>
    <t xml:space="preserve">Ex. Director </t>
  </si>
  <si>
    <t>Ex. Director and CS</t>
  </si>
  <si>
    <t>NA</t>
  </si>
  <si>
    <t>-</t>
  </si>
  <si>
    <r>
      <t>Nitin Paranjpe</t>
    </r>
    <r>
      <rPr>
        <b/>
        <vertAlign val="superscript"/>
        <sz val="11"/>
        <color theme="1"/>
        <rFont val="Calibri"/>
        <family val="2"/>
        <scheme val="minor"/>
      </rPr>
      <t>@</t>
    </r>
  </si>
  <si>
    <t>Note: @ The Non-Executive Chairman of the Company did not receive any 
sitting fees, commission or stock options from the Company</t>
  </si>
  <si>
    <t>Recent Updates</t>
  </si>
  <si>
    <t>HUL approves ₹2,000-cr investment to expand premium beauty &amp; well-being, home care biz</t>
  </si>
  <si>
    <t>India’s largest FMCG company, Hindustan Unilever Ltd (HUL), has completed the sale of its entire 19.8% stake in Nutritionalab (Wellbeing Nutrition) for approximately ₹307 crore.</t>
  </si>
  <si>
    <t>In another development last month, in a separate filing dated February 12, 2026, HUL said its board approved the acquisition of the remaining 49% stake in Zywie Ventures Private Limited for ₹824 crore under a pre-agreed valuation framework.</t>
  </si>
  <si>
    <t>Managerial remuneration (FY 25)</t>
  </si>
  <si>
    <t>Current CEO and MD: Priya Nair First Women Ceo of Hindustan Unileaver ltd.</t>
  </si>
  <si>
    <t>During the quarter, demand trends reflected early signs of recovery, underpinned by supportive policy measures. Against this backdrop, HUL delivered a competitive performance, with 6% Revenue Growth and 4% Underlying Volume Growth.</t>
  </si>
  <si>
    <t>Guided by : The Valuation School</t>
  </si>
  <si>
    <t xml:space="preserve">Prepared by: Utkarsh Bandil </t>
  </si>
  <si>
    <t>Sources : Annual Reports &amp; Concalls of Hindustan Unileaver</t>
  </si>
  <si>
    <t>@Parth Verma</t>
  </si>
  <si>
    <t xml:space="preserve"> </t>
  </si>
  <si>
    <t>Share Price as on 4 Mar 2026</t>
  </si>
</sst>
</file>

<file path=xl/styles.xml><?xml version="1.0" encoding="utf-8"?>
<styleSheet xmlns="http://schemas.openxmlformats.org/spreadsheetml/2006/main">
  <numFmts count="7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#,##0.0"/>
    <numFmt numFmtId="167" formatCode="0.00000"/>
    <numFmt numFmtId="168" formatCode="0.00&quot;x&quot;"/>
    <numFmt numFmtId="169" formatCode="#,##0;\(#,##0\);\-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rgb="FF202122"/>
      <name val="Arial"/>
      <family val="2"/>
    </font>
    <font>
      <b/>
      <sz val="8"/>
      <color rgb="FF202122"/>
      <name val="Arial"/>
      <family val="2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7"/>
      <color rgb="FF000000"/>
      <name val="Inherit"/>
    </font>
    <font>
      <b/>
      <vertAlign val="super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00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6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7" fillId="0" borderId="0" xfId="1" applyNumberFormat="1" applyFont="1" applyFill="1" applyBorder="1"/>
    <xf numFmtId="0" fontId="0" fillId="0" borderId="0" xfId="0" applyFont="1" applyFill="1" applyBorder="1"/>
    <xf numFmtId="0" fontId="7" fillId="0" borderId="0" xfId="0" applyFont="1" applyFill="1" applyBorder="1"/>
    <xf numFmtId="164" fontId="0" fillId="0" borderId="0" xfId="1" applyNumberFormat="1" applyFont="1" applyBorder="1"/>
    <xf numFmtId="0" fontId="2" fillId="0" borderId="0" xfId="0" applyFont="1"/>
    <xf numFmtId="0" fontId="0" fillId="7" borderId="0" xfId="0" applyFill="1"/>
    <xf numFmtId="0" fontId="8" fillId="7" borderId="0" xfId="0" applyFont="1" applyFill="1" applyAlignment="1">
      <alignment wrapText="1"/>
    </xf>
    <xf numFmtId="0" fontId="0" fillId="0" borderId="0" xfId="0" applyAlignment="1">
      <alignment vertical="top"/>
    </xf>
    <xf numFmtId="0" fontId="9" fillId="7" borderId="0" xfId="0" applyFont="1" applyFill="1" applyAlignment="1">
      <alignment vertical="top" wrapText="1"/>
    </xf>
    <xf numFmtId="0" fontId="2" fillId="0" borderId="0" xfId="0" applyFont="1" applyFill="1" applyAlignment="1">
      <alignment horizontal="center"/>
    </xf>
    <xf numFmtId="0" fontId="0" fillId="0" borderId="0" xfId="0" applyFill="1"/>
    <xf numFmtId="0" fontId="0" fillId="0" borderId="1" xfId="0" applyNumberFormat="1" applyBorder="1"/>
    <xf numFmtId="0" fontId="10" fillId="6" borderId="0" xfId="0" applyFont="1" applyFill="1"/>
    <xf numFmtId="17" fontId="10" fillId="6" borderId="0" xfId="0" applyNumberFormat="1" applyFont="1" applyFill="1"/>
    <xf numFmtId="10" fontId="0" fillId="0" borderId="0" xfId="6" applyNumberFormat="1" applyFont="1" applyBorder="1"/>
    <xf numFmtId="10" fontId="0" fillId="0" borderId="0" xfId="0" applyNumberFormat="1"/>
    <xf numFmtId="43" fontId="0" fillId="0" borderId="0" xfId="0" applyNumberFormat="1" applyFont="1" applyBorder="1"/>
    <xf numFmtId="43" fontId="0" fillId="0" borderId="0" xfId="0" applyNumberFormat="1"/>
    <xf numFmtId="14" fontId="0" fillId="0" borderId="0" xfId="0" applyNumberFormat="1"/>
    <xf numFmtId="4" fontId="0" fillId="0" borderId="0" xfId="0" applyNumberFormat="1"/>
    <xf numFmtId="167" fontId="0" fillId="0" borderId="0" xfId="0" applyNumberFormat="1" applyFont="1" applyBorder="1"/>
    <xf numFmtId="43" fontId="0" fillId="0" borderId="0" xfId="0" applyNumberFormat="1" applyBorder="1"/>
    <xf numFmtId="9" fontId="0" fillId="0" borderId="0" xfId="0" applyNumberFormat="1"/>
    <xf numFmtId="0" fontId="14" fillId="8" borderId="2" xfId="0" applyFont="1" applyFill="1" applyBorder="1" applyAlignment="1">
      <alignment horizontal="left" vertical="center" wrapText="1"/>
    </xf>
    <xf numFmtId="0" fontId="14" fillId="8" borderId="2" xfId="0" applyFont="1" applyFill="1" applyBorder="1" applyAlignment="1">
      <alignment horizontal="right" vertical="center" wrapText="1"/>
    </xf>
    <xf numFmtId="0" fontId="14" fillId="8" borderId="3" xfId="0" applyFont="1" applyFill="1" applyBorder="1" applyAlignment="1">
      <alignment horizontal="right" vertical="center" wrapText="1"/>
    </xf>
    <xf numFmtId="17" fontId="10" fillId="6" borderId="0" xfId="0" applyNumberFormat="1" applyFont="1" applyFill="1" applyAlignment="1">
      <alignment vertical="top" wrapText="1"/>
    </xf>
    <xf numFmtId="0" fontId="10" fillId="6" borderId="0" xfId="0" applyFont="1" applyFill="1" applyAlignment="1">
      <alignment vertical="top"/>
    </xf>
    <xf numFmtId="17" fontId="10" fillId="6" borderId="0" xfId="0" applyNumberFormat="1" applyFont="1" applyFill="1" applyAlignment="1">
      <alignment horizontal="center" vertical="top" wrapText="1"/>
    </xf>
    <xf numFmtId="10" fontId="0" fillId="0" borderId="0" xfId="6" applyNumberFormat="1" applyFont="1"/>
    <xf numFmtId="2" fontId="0" fillId="0" borderId="0" xfId="0" applyNumberFormat="1"/>
    <xf numFmtId="0" fontId="1" fillId="0" borderId="0" xfId="0" applyFont="1"/>
    <xf numFmtId="1" fontId="0" fillId="0" borderId="0" xfId="0" applyNumberFormat="1"/>
    <xf numFmtId="169" fontId="0" fillId="0" borderId="0" xfId="0" applyNumberFormat="1"/>
    <xf numFmtId="0" fontId="0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0" fillId="0" borderId="4" xfId="0" applyBorder="1"/>
    <xf numFmtId="166" fontId="0" fillId="0" borderId="4" xfId="0" applyNumberFormat="1" applyBorder="1"/>
    <xf numFmtId="0" fontId="13" fillId="0" borderId="4" xfId="0" applyFont="1" applyBorder="1"/>
    <xf numFmtId="10" fontId="13" fillId="0" borderId="4" xfId="0" applyNumberFormat="1" applyFont="1" applyBorder="1"/>
    <xf numFmtId="0" fontId="0" fillId="0" borderId="4" xfId="0" applyFont="1" applyBorder="1"/>
    <xf numFmtId="10" fontId="0" fillId="0" borderId="4" xfId="0" applyNumberFormat="1" applyFont="1" applyBorder="1"/>
    <xf numFmtId="10" fontId="0" fillId="0" borderId="4" xfId="0" applyNumberFormat="1" applyBorder="1"/>
    <xf numFmtId="43" fontId="0" fillId="0" borderId="4" xfId="0" applyNumberFormat="1" applyBorder="1"/>
    <xf numFmtId="168" fontId="0" fillId="0" borderId="4" xfId="0" applyNumberFormat="1" applyBorder="1"/>
    <xf numFmtId="14" fontId="0" fillId="0" borderId="4" xfId="0" applyNumberFormat="1" applyBorder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0" borderId="0" xfId="0" applyAlignment="1"/>
    <xf numFmtId="0" fontId="5" fillId="6" borderId="0" xfId="0" applyFont="1" applyFill="1" applyAlignment="1">
      <alignment horizontal="left"/>
    </xf>
    <xf numFmtId="0" fontId="5" fillId="6" borderId="0" xfId="0" quotePrefix="1" applyFont="1" applyFill="1" applyAlignment="1"/>
    <xf numFmtId="0" fontId="5" fillId="6" borderId="0" xfId="0" applyFont="1" applyFill="1" applyAlignment="1">
      <alignment horizontal="left"/>
    </xf>
    <xf numFmtId="0" fontId="5" fillId="6" borderId="0" xfId="0" applyFont="1" applyFill="1" applyAlignment="1">
      <alignment horizontal="right"/>
    </xf>
    <xf numFmtId="0" fontId="5" fillId="6" borderId="0" xfId="0" quotePrefix="1" applyFont="1" applyFill="1" applyAlignment="1">
      <alignment horizontal="right" indent="3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 vertical="top"/>
    </xf>
    <xf numFmtId="17" fontId="10" fillId="6" borderId="0" xfId="0" applyNumberFormat="1" applyFont="1" applyFill="1" applyAlignment="1">
      <alignment horizontal="center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8" fontId="0" fillId="0" borderId="0" xfId="0" quotePrefix="1" applyNumberFormat="1" applyAlignment="1">
      <alignment horizontal="right"/>
    </xf>
    <xf numFmtId="168" fontId="0" fillId="0" borderId="0" xfId="0" applyNumberFormat="1" applyAlignment="1">
      <alignment horizontal="right"/>
    </xf>
    <xf numFmtId="2" fontId="0" fillId="0" borderId="4" xfId="0" applyNumberFormat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0" fillId="0" borderId="1" xfId="0" applyNumberFormat="1" applyBorder="1" applyAlignment="1">
      <alignment horizontal="left" vertical="top" wrapText="1"/>
    </xf>
    <xf numFmtId="0" fontId="10" fillId="6" borderId="0" xfId="0" applyFont="1" applyFill="1" applyAlignment="1">
      <alignment horizontal="center"/>
    </xf>
    <xf numFmtId="0" fontId="0" fillId="0" borderId="4" xfId="0" applyBorder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wrapText="1"/>
    </xf>
    <xf numFmtId="0" fontId="0" fillId="9" borderId="0" xfId="0" applyFill="1" applyAlignment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inden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chart>
    <c:autoTitleDeleted val="1"/>
    <c:plotArea>
      <c:layout/>
      <c:lineChart>
        <c:grouping val="standard"/>
        <c:ser>
          <c:idx val="0"/>
          <c:order val="0"/>
          <c:tx>
            <c:strRef>
              <c:f>'Raw Data'!$O$2</c:f>
              <c:strCache>
                <c:ptCount val="1"/>
                <c:pt idx="0">
                  <c:v>Price</c:v>
                </c:pt>
              </c:strCache>
            </c:strRef>
          </c:tx>
          <c:marker>
            <c:symbol val="none"/>
          </c:marker>
          <c:cat>
            <c:numRef>
              <c:f>'Raw Data'!$B$3:$B$1242</c:f>
              <c:numCache>
                <c:formatCode>dd/mm/yyyy</c:formatCode>
                <c:ptCount val="1240"/>
                <c:pt idx="0">
                  <c:v>44259</c:v>
                </c:pt>
                <c:pt idx="1">
                  <c:v>44260</c:v>
                </c:pt>
                <c:pt idx="2">
                  <c:v>44263</c:v>
                </c:pt>
                <c:pt idx="3">
                  <c:v>44264</c:v>
                </c:pt>
                <c:pt idx="4">
                  <c:v>44265</c:v>
                </c:pt>
                <c:pt idx="5">
                  <c:v>44267</c:v>
                </c:pt>
                <c:pt idx="6">
                  <c:v>44270</c:v>
                </c:pt>
                <c:pt idx="7">
                  <c:v>44271</c:v>
                </c:pt>
                <c:pt idx="8">
                  <c:v>44272</c:v>
                </c:pt>
                <c:pt idx="9">
                  <c:v>44273</c:v>
                </c:pt>
                <c:pt idx="10">
                  <c:v>44274</c:v>
                </c:pt>
                <c:pt idx="11">
                  <c:v>44277</c:v>
                </c:pt>
                <c:pt idx="12">
                  <c:v>44278</c:v>
                </c:pt>
                <c:pt idx="13">
                  <c:v>44279</c:v>
                </c:pt>
                <c:pt idx="14">
                  <c:v>44280</c:v>
                </c:pt>
                <c:pt idx="15">
                  <c:v>44281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44291</c:v>
                </c:pt>
                <c:pt idx="20">
                  <c:v>44292</c:v>
                </c:pt>
                <c:pt idx="21">
                  <c:v>44293</c:v>
                </c:pt>
                <c:pt idx="22">
                  <c:v>44294</c:v>
                </c:pt>
                <c:pt idx="23">
                  <c:v>44295</c:v>
                </c:pt>
                <c:pt idx="24">
                  <c:v>44298</c:v>
                </c:pt>
                <c:pt idx="25">
                  <c:v>44299</c:v>
                </c:pt>
                <c:pt idx="26">
                  <c:v>44301</c:v>
                </c:pt>
                <c:pt idx="27">
                  <c:v>44302</c:v>
                </c:pt>
                <c:pt idx="28">
                  <c:v>44305</c:v>
                </c:pt>
                <c:pt idx="29">
                  <c:v>44306</c:v>
                </c:pt>
                <c:pt idx="30">
                  <c:v>44308</c:v>
                </c:pt>
                <c:pt idx="31">
                  <c:v>44309</c:v>
                </c:pt>
                <c:pt idx="32">
                  <c:v>44312</c:v>
                </c:pt>
                <c:pt idx="33">
                  <c:v>44313</c:v>
                </c:pt>
                <c:pt idx="34">
                  <c:v>44314</c:v>
                </c:pt>
                <c:pt idx="35">
                  <c:v>44315</c:v>
                </c:pt>
                <c:pt idx="36">
                  <c:v>44316</c:v>
                </c:pt>
                <c:pt idx="37">
                  <c:v>44319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44330</c:v>
                </c:pt>
                <c:pt idx="46">
                  <c:v>44333</c:v>
                </c:pt>
                <c:pt idx="47">
                  <c:v>44334</c:v>
                </c:pt>
                <c:pt idx="48">
                  <c:v>44335</c:v>
                </c:pt>
                <c:pt idx="49">
                  <c:v>44336</c:v>
                </c:pt>
                <c:pt idx="50">
                  <c:v>44337</c:v>
                </c:pt>
                <c:pt idx="51">
                  <c:v>44340</c:v>
                </c:pt>
                <c:pt idx="52">
                  <c:v>44341</c:v>
                </c:pt>
                <c:pt idx="53">
                  <c:v>44342</c:v>
                </c:pt>
                <c:pt idx="54">
                  <c:v>44343</c:v>
                </c:pt>
                <c:pt idx="55">
                  <c:v>44344</c:v>
                </c:pt>
                <c:pt idx="56">
                  <c:v>44347</c:v>
                </c:pt>
                <c:pt idx="57">
                  <c:v>44348</c:v>
                </c:pt>
                <c:pt idx="58">
                  <c:v>44349</c:v>
                </c:pt>
                <c:pt idx="59">
                  <c:v>44350</c:v>
                </c:pt>
                <c:pt idx="60">
                  <c:v>44351</c:v>
                </c:pt>
                <c:pt idx="61">
                  <c:v>44354</c:v>
                </c:pt>
                <c:pt idx="62">
                  <c:v>44355</c:v>
                </c:pt>
                <c:pt idx="63">
                  <c:v>44356</c:v>
                </c:pt>
                <c:pt idx="64">
                  <c:v>44357</c:v>
                </c:pt>
                <c:pt idx="65">
                  <c:v>44358</c:v>
                </c:pt>
                <c:pt idx="66">
                  <c:v>44361</c:v>
                </c:pt>
                <c:pt idx="67">
                  <c:v>44362</c:v>
                </c:pt>
                <c:pt idx="68">
                  <c:v>44363</c:v>
                </c:pt>
                <c:pt idx="69">
                  <c:v>44364</c:v>
                </c:pt>
                <c:pt idx="70">
                  <c:v>44365</c:v>
                </c:pt>
                <c:pt idx="71">
                  <c:v>44368</c:v>
                </c:pt>
                <c:pt idx="72">
                  <c:v>44369</c:v>
                </c:pt>
                <c:pt idx="73">
                  <c:v>44370</c:v>
                </c:pt>
                <c:pt idx="74">
                  <c:v>44371</c:v>
                </c:pt>
                <c:pt idx="75">
                  <c:v>44372</c:v>
                </c:pt>
                <c:pt idx="76">
                  <c:v>44375</c:v>
                </c:pt>
                <c:pt idx="77">
                  <c:v>44376</c:v>
                </c:pt>
                <c:pt idx="78">
                  <c:v>44377</c:v>
                </c:pt>
                <c:pt idx="79">
                  <c:v>44378</c:v>
                </c:pt>
                <c:pt idx="80">
                  <c:v>44379</c:v>
                </c:pt>
                <c:pt idx="81">
                  <c:v>44382</c:v>
                </c:pt>
                <c:pt idx="82">
                  <c:v>44383</c:v>
                </c:pt>
                <c:pt idx="83">
                  <c:v>44384</c:v>
                </c:pt>
                <c:pt idx="84">
                  <c:v>44385</c:v>
                </c:pt>
                <c:pt idx="85">
                  <c:v>44386</c:v>
                </c:pt>
                <c:pt idx="86">
                  <c:v>44389</c:v>
                </c:pt>
                <c:pt idx="87">
                  <c:v>44390</c:v>
                </c:pt>
                <c:pt idx="88">
                  <c:v>44391</c:v>
                </c:pt>
                <c:pt idx="89">
                  <c:v>44392</c:v>
                </c:pt>
                <c:pt idx="90">
                  <c:v>44393</c:v>
                </c:pt>
                <c:pt idx="91">
                  <c:v>44396</c:v>
                </c:pt>
                <c:pt idx="92">
                  <c:v>44397</c:v>
                </c:pt>
                <c:pt idx="93">
                  <c:v>44399</c:v>
                </c:pt>
                <c:pt idx="94">
                  <c:v>44400</c:v>
                </c:pt>
                <c:pt idx="95">
                  <c:v>44403</c:v>
                </c:pt>
                <c:pt idx="96">
                  <c:v>44404</c:v>
                </c:pt>
                <c:pt idx="97">
                  <c:v>44405</c:v>
                </c:pt>
                <c:pt idx="98">
                  <c:v>44406</c:v>
                </c:pt>
                <c:pt idx="99">
                  <c:v>44407</c:v>
                </c:pt>
                <c:pt idx="100">
                  <c:v>44410</c:v>
                </c:pt>
                <c:pt idx="101">
                  <c:v>44411</c:v>
                </c:pt>
                <c:pt idx="102">
                  <c:v>44412</c:v>
                </c:pt>
                <c:pt idx="103">
                  <c:v>44413</c:v>
                </c:pt>
                <c:pt idx="104">
                  <c:v>44414</c:v>
                </c:pt>
                <c:pt idx="105">
                  <c:v>44417</c:v>
                </c:pt>
                <c:pt idx="106">
                  <c:v>44418</c:v>
                </c:pt>
                <c:pt idx="107">
                  <c:v>44419</c:v>
                </c:pt>
                <c:pt idx="108">
                  <c:v>44420</c:v>
                </c:pt>
                <c:pt idx="109">
                  <c:v>44421</c:v>
                </c:pt>
                <c:pt idx="110">
                  <c:v>44424</c:v>
                </c:pt>
                <c:pt idx="111">
                  <c:v>44425</c:v>
                </c:pt>
                <c:pt idx="112">
                  <c:v>44426</c:v>
                </c:pt>
                <c:pt idx="113">
                  <c:v>44428</c:v>
                </c:pt>
                <c:pt idx="114">
                  <c:v>44431</c:v>
                </c:pt>
                <c:pt idx="115">
                  <c:v>44432</c:v>
                </c:pt>
                <c:pt idx="116">
                  <c:v>44433</c:v>
                </c:pt>
                <c:pt idx="117">
                  <c:v>44434</c:v>
                </c:pt>
                <c:pt idx="118">
                  <c:v>44435</c:v>
                </c:pt>
                <c:pt idx="119">
                  <c:v>44438</c:v>
                </c:pt>
                <c:pt idx="120">
                  <c:v>44439</c:v>
                </c:pt>
                <c:pt idx="121">
                  <c:v>44440</c:v>
                </c:pt>
                <c:pt idx="122">
                  <c:v>44441</c:v>
                </c:pt>
                <c:pt idx="123">
                  <c:v>44442</c:v>
                </c:pt>
                <c:pt idx="124">
                  <c:v>44445</c:v>
                </c:pt>
                <c:pt idx="125">
                  <c:v>44446</c:v>
                </c:pt>
                <c:pt idx="126">
                  <c:v>44447</c:v>
                </c:pt>
                <c:pt idx="127">
                  <c:v>44448</c:v>
                </c:pt>
                <c:pt idx="128">
                  <c:v>44452</c:v>
                </c:pt>
                <c:pt idx="129">
                  <c:v>44453</c:v>
                </c:pt>
                <c:pt idx="130">
                  <c:v>44454</c:v>
                </c:pt>
                <c:pt idx="131">
                  <c:v>44455</c:v>
                </c:pt>
                <c:pt idx="132">
                  <c:v>44456</c:v>
                </c:pt>
                <c:pt idx="133">
                  <c:v>44459</c:v>
                </c:pt>
                <c:pt idx="134">
                  <c:v>44460</c:v>
                </c:pt>
                <c:pt idx="135">
                  <c:v>44461</c:v>
                </c:pt>
                <c:pt idx="136">
                  <c:v>44462</c:v>
                </c:pt>
                <c:pt idx="137">
                  <c:v>44463</c:v>
                </c:pt>
                <c:pt idx="138">
                  <c:v>44466</c:v>
                </c:pt>
                <c:pt idx="139">
                  <c:v>44467</c:v>
                </c:pt>
                <c:pt idx="140">
                  <c:v>44468</c:v>
                </c:pt>
                <c:pt idx="141">
                  <c:v>44469</c:v>
                </c:pt>
                <c:pt idx="142">
                  <c:v>44470</c:v>
                </c:pt>
                <c:pt idx="143">
                  <c:v>44473</c:v>
                </c:pt>
                <c:pt idx="144">
                  <c:v>44474</c:v>
                </c:pt>
                <c:pt idx="145">
                  <c:v>44475</c:v>
                </c:pt>
                <c:pt idx="146">
                  <c:v>44476</c:v>
                </c:pt>
                <c:pt idx="147">
                  <c:v>44477</c:v>
                </c:pt>
                <c:pt idx="148">
                  <c:v>44480</c:v>
                </c:pt>
                <c:pt idx="149">
                  <c:v>44481</c:v>
                </c:pt>
                <c:pt idx="150">
                  <c:v>44482</c:v>
                </c:pt>
                <c:pt idx="151">
                  <c:v>44483</c:v>
                </c:pt>
                <c:pt idx="152">
                  <c:v>44487</c:v>
                </c:pt>
                <c:pt idx="153">
                  <c:v>44488</c:v>
                </c:pt>
                <c:pt idx="154">
                  <c:v>44489</c:v>
                </c:pt>
                <c:pt idx="155">
                  <c:v>44490</c:v>
                </c:pt>
                <c:pt idx="156">
                  <c:v>44491</c:v>
                </c:pt>
                <c:pt idx="157">
                  <c:v>44494</c:v>
                </c:pt>
                <c:pt idx="158">
                  <c:v>44495</c:v>
                </c:pt>
                <c:pt idx="159">
                  <c:v>44496</c:v>
                </c:pt>
                <c:pt idx="160">
                  <c:v>44497</c:v>
                </c:pt>
                <c:pt idx="161">
                  <c:v>44498</c:v>
                </c:pt>
                <c:pt idx="162">
                  <c:v>44501</c:v>
                </c:pt>
                <c:pt idx="163">
                  <c:v>44502</c:v>
                </c:pt>
                <c:pt idx="164">
                  <c:v>44503</c:v>
                </c:pt>
                <c:pt idx="165">
                  <c:v>44504</c:v>
                </c:pt>
                <c:pt idx="166">
                  <c:v>44508</c:v>
                </c:pt>
                <c:pt idx="167">
                  <c:v>44509</c:v>
                </c:pt>
                <c:pt idx="168">
                  <c:v>44510</c:v>
                </c:pt>
                <c:pt idx="169">
                  <c:v>44511</c:v>
                </c:pt>
                <c:pt idx="170">
                  <c:v>44512</c:v>
                </c:pt>
                <c:pt idx="171">
                  <c:v>44515</c:v>
                </c:pt>
                <c:pt idx="172">
                  <c:v>44516</c:v>
                </c:pt>
                <c:pt idx="173">
                  <c:v>44517</c:v>
                </c:pt>
                <c:pt idx="174">
                  <c:v>44518</c:v>
                </c:pt>
                <c:pt idx="175">
                  <c:v>44522</c:v>
                </c:pt>
                <c:pt idx="176">
                  <c:v>44523</c:v>
                </c:pt>
                <c:pt idx="177">
                  <c:v>44524</c:v>
                </c:pt>
                <c:pt idx="178">
                  <c:v>44525</c:v>
                </c:pt>
                <c:pt idx="179">
                  <c:v>44526</c:v>
                </c:pt>
                <c:pt idx="180">
                  <c:v>44529</c:v>
                </c:pt>
                <c:pt idx="181">
                  <c:v>44530</c:v>
                </c:pt>
                <c:pt idx="182">
                  <c:v>44531</c:v>
                </c:pt>
                <c:pt idx="183">
                  <c:v>44532</c:v>
                </c:pt>
                <c:pt idx="184">
                  <c:v>44533</c:v>
                </c:pt>
                <c:pt idx="185">
                  <c:v>44536</c:v>
                </c:pt>
                <c:pt idx="186">
                  <c:v>44537</c:v>
                </c:pt>
                <c:pt idx="187">
                  <c:v>44538</c:v>
                </c:pt>
                <c:pt idx="188">
                  <c:v>44539</c:v>
                </c:pt>
                <c:pt idx="189">
                  <c:v>44540</c:v>
                </c:pt>
                <c:pt idx="190">
                  <c:v>44543</c:v>
                </c:pt>
                <c:pt idx="191">
                  <c:v>44544</c:v>
                </c:pt>
                <c:pt idx="192">
                  <c:v>44545</c:v>
                </c:pt>
                <c:pt idx="193">
                  <c:v>44546</c:v>
                </c:pt>
                <c:pt idx="194">
                  <c:v>44547</c:v>
                </c:pt>
                <c:pt idx="195">
                  <c:v>44550</c:v>
                </c:pt>
                <c:pt idx="196">
                  <c:v>44551</c:v>
                </c:pt>
                <c:pt idx="197">
                  <c:v>44552</c:v>
                </c:pt>
                <c:pt idx="198">
                  <c:v>44553</c:v>
                </c:pt>
                <c:pt idx="199">
                  <c:v>44554</c:v>
                </c:pt>
                <c:pt idx="200">
                  <c:v>44557</c:v>
                </c:pt>
                <c:pt idx="201">
                  <c:v>44558</c:v>
                </c:pt>
                <c:pt idx="202">
                  <c:v>44559</c:v>
                </c:pt>
                <c:pt idx="203">
                  <c:v>44560</c:v>
                </c:pt>
                <c:pt idx="204">
                  <c:v>44561</c:v>
                </c:pt>
                <c:pt idx="205">
                  <c:v>44564</c:v>
                </c:pt>
                <c:pt idx="206">
                  <c:v>44565</c:v>
                </c:pt>
                <c:pt idx="207">
                  <c:v>44566</c:v>
                </c:pt>
                <c:pt idx="208">
                  <c:v>44567</c:v>
                </c:pt>
                <c:pt idx="209">
                  <c:v>44568</c:v>
                </c:pt>
                <c:pt idx="210">
                  <c:v>44571</c:v>
                </c:pt>
                <c:pt idx="211">
                  <c:v>44572</c:v>
                </c:pt>
                <c:pt idx="212">
                  <c:v>44573</c:v>
                </c:pt>
                <c:pt idx="213">
                  <c:v>44574</c:v>
                </c:pt>
                <c:pt idx="214">
                  <c:v>44575</c:v>
                </c:pt>
                <c:pt idx="215">
                  <c:v>44578</c:v>
                </c:pt>
                <c:pt idx="216">
                  <c:v>44579</c:v>
                </c:pt>
                <c:pt idx="217">
                  <c:v>44580</c:v>
                </c:pt>
                <c:pt idx="218">
                  <c:v>44581</c:v>
                </c:pt>
                <c:pt idx="219">
                  <c:v>44582</c:v>
                </c:pt>
                <c:pt idx="220">
                  <c:v>44585</c:v>
                </c:pt>
                <c:pt idx="221">
                  <c:v>44586</c:v>
                </c:pt>
                <c:pt idx="222">
                  <c:v>44588</c:v>
                </c:pt>
                <c:pt idx="223">
                  <c:v>44589</c:v>
                </c:pt>
                <c:pt idx="224">
                  <c:v>44592</c:v>
                </c:pt>
                <c:pt idx="225">
                  <c:v>44593</c:v>
                </c:pt>
                <c:pt idx="226">
                  <c:v>44594</c:v>
                </c:pt>
                <c:pt idx="227">
                  <c:v>44595</c:v>
                </c:pt>
                <c:pt idx="228">
                  <c:v>44596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44622</c:v>
                </c:pt>
                <c:pt idx="246">
                  <c:v>44623</c:v>
                </c:pt>
                <c:pt idx="247">
                  <c:v>44624</c:v>
                </c:pt>
                <c:pt idx="248">
                  <c:v>44627</c:v>
                </c:pt>
                <c:pt idx="249">
                  <c:v>44628</c:v>
                </c:pt>
                <c:pt idx="250">
                  <c:v>44629</c:v>
                </c:pt>
                <c:pt idx="251">
                  <c:v>44630</c:v>
                </c:pt>
                <c:pt idx="252">
                  <c:v>44631</c:v>
                </c:pt>
                <c:pt idx="253">
                  <c:v>44634</c:v>
                </c:pt>
                <c:pt idx="254">
                  <c:v>44635</c:v>
                </c:pt>
                <c:pt idx="255">
                  <c:v>44636</c:v>
                </c:pt>
                <c:pt idx="256">
                  <c:v>44637</c:v>
                </c:pt>
                <c:pt idx="257">
                  <c:v>44641</c:v>
                </c:pt>
                <c:pt idx="258">
                  <c:v>44642</c:v>
                </c:pt>
                <c:pt idx="259">
                  <c:v>44643</c:v>
                </c:pt>
                <c:pt idx="260">
                  <c:v>44644</c:v>
                </c:pt>
                <c:pt idx="261">
                  <c:v>44645</c:v>
                </c:pt>
                <c:pt idx="262">
                  <c:v>44648</c:v>
                </c:pt>
                <c:pt idx="263">
                  <c:v>44649</c:v>
                </c:pt>
                <c:pt idx="264">
                  <c:v>44650</c:v>
                </c:pt>
                <c:pt idx="265">
                  <c:v>44651</c:v>
                </c:pt>
                <c:pt idx="266">
                  <c:v>44652</c:v>
                </c:pt>
                <c:pt idx="267">
                  <c:v>44655</c:v>
                </c:pt>
                <c:pt idx="268">
                  <c:v>44656</c:v>
                </c:pt>
                <c:pt idx="269">
                  <c:v>44657</c:v>
                </c:pt>
                <c:pt idx="270">
                  <c:v>44658</c:v>
                </c:pt>
                <c:pt idx="271">
                  <c:v>44659</c:v>
                </c:pt>
                <c:pt idx="272">
                  <c:v>44662</c:v>
                </c:pt>
                <c:pt idx="273">
                  <c:v>44663</c:v>
                </c:pt>
                <c:pt idx="274">
                  <c:v>44664</c:v>
                </c:pt>
                <c:pt idx="275">
                  <c:v>44669</c:v>
                </c:pt>
                <c:pt idx="276">
                  <c:v>44670</c:v>
                </c:pt>
                <c:pt idx="277">
                  <c:v>44671</c:v>
                </c:pt>
                <c:pt idx="278">
                  <c:v>44672</c:v>
                </c:pt>
                <c:pt idx="279">
                  <c:v>44673</c:v>
                </c:pt>
                <c:pt idx="280">
                  <c:v>44676</c:v>
                </c:pt>
                <c:pt idx="281">
                  <c:v>44677</c:v>
                </c:pt>
                <c:pt idx="282">
                  <c:v>44678</c:v>
                </c:pt>
                <c:pt idx="283">
                  <c:v>44679</c:v>
                </c:pt>
                <c:pt idx="284">
                  <c:v>44680</c:v>
                </c:pt>
                <c:pt idx="285">
                  <c:v>44683</c:v>
                </c:pt>
                <c:pt idx="286">
                  <c:v>44685</c:v>
                </c:pt>
                <c:pt idx="287">
                  <c:v>44686</c:v>
                </c:pt>
                <c:pt idx="288">
                  <c:v>44687</c:v>
                </c:pt>
                <c:pt idx="289">
                  <c:v>44690</c:v>
                </c:pt>
                <c:pt idx="290">
                  <c:v>44691</c:v>
                </c:pt>
                <c:pt idx="291">
                  <c:v>44692</c:v>
                </c:pt>
                <c:pt idx="292">
                  <c:v>44693</c:v>
                </c:pt>
                <c:pt idx="293">
                  <c:v>44694</c:v>
                </c:pt>
                <c:pt idx="294">
                  <c:v>44697</c:v>
                </c:pt>
                <c:pt idx="295">
                  <c:v>44698</c:v>
                </c:pt>
                <c:pt idx="296">
                  <c:v>44699</c:v>
                </c:pt>
                <c:pt idx="297">
                  <c:v>44700</c:v>
                </c:pt>
                <c:pt idx="298">
                  <c:v>44701</c:v>
                </c:pt>
                <c:pt idx="299">
                  <c:v>44704</c:v>
                </c:pt>
                <c:pt idx="300">
                  <c:v>44705</c:v>
                </c:pt>
                <c:pt idx="301">
                  <c:v>44706</c:v>
                </c:pt>
                <c:pt idx="302">
                  <c:v>44707</c:v>
                </c:pt>
                <c:pt idx="303">
                  <c:v>44708</c:v>
                </c:pt>
                <c:pt idx="304">
                  <c:v>44711</c:v>
                </c:pt>
                <c:pt idx="305">
                  <c:v>44712</c:v>
                </c:pt>
                <c:pt idx="306">
                  <c:v>44713</c:v>
                </c:pt>
                <c:pt idx="307">
                  <c:v>44714</c:v>
                </c:pt>
                <c:pt idx="308">
                  <c:v>44715</c:v>
                </c:pt>
                <c:pt idx="309">
                  <c:v>44718</c:v>
                </c:pt>
                <c:pt idx="310">
                  <c:v>44719</c:v>
                </c:pt>
                <c:pt idx="311">
                  <c:v>44720</c:v>
                </c:pt>
                <c:pt idx="312">
                  <c:v>44721</c:v>
                </c:pt>
                <c:pt idx="313">
                  <c:v>44722</c:v>
                </c:pt>
                <c:pt idx="314">
                  <c:v>44725</c:v>
                </c:pt>
                <c:pt idx="315">
                  <c:v>44726</c:v>
                </c:pt>
                <c:pt idx="316">
                  <c:v>44727</c:v>
                </c:pt>
                <c:pt idx="317">
                  <c:v>44728</c:v>
                </c:pt>
                <c:pt idx="318">
                  <c:v>44729</c:v>
                </c:pt>
                <c:pt idx="319">
                  <c:v>44732</c:v>
                </c:pt>
                <c:pt idx="320">
                  <c:v>44733</c:v>
                </c:pt>
                <c:pt idx="321">
                  <c:v>44734</c:v>
                </c:pt>
                <c:pt idx="322">
                  <c:v>44735</c:v>
                </c:pt>
                <c:pt idx="323">
                  <c:v>44736</c:v>
                </c:pt>
                <c:pt idx="324">
                  <c:v>44739</c:v>
                </c:pt>
                <c:pt idx="325">
                  <c:v>44740</c:v>
                </c:pt>
                <c:pt idx="326">
                  <c:v>44741</c:v>
                </c:pt>
                <c:pt idx="327">
                  <c:v>44742</c:v>
                </c:pt>
                <c:pt idx="328">
                  <c:v>44743</c:v>
                </c:pt>
                <c:pt idx="329">
                  <c:v>44746</c:v>
                </c:pt>
                <c:pt idx="330">
                  <c:v>44747</c:v>
                </c:pt>
                <c:pt idx="331">
                  <c:v>44748</c:v>
                </c:pt>
                <c:pt idx="332">
                  <c:v>44749</c:v>
                </c:pt>
                <c:pt idx="333">
                  <c:v>44750</c:v>
                </c:pt>
                <c:pt idx="334">
                  <c:v>44753</c:v>
                </c:pt>
                <c:pt idx="335">
                  <c:v>44754</c:v>
                </c:pt>
                <c:pt idx="336">
                  <c:v>44755</c:v>
                </c:pt>
                <c:pt idx="337">
                  <c:v>44756</c:v>
                </c:pt>
                <c:pt idx="338">
                  <c:v>44757</c:v>
                </c:pt>
                <c:pt idx="339">
                  <c:v>44760</c:v>
                </c:pt>
                <c:pt idx="340">
                  <c:v>44761</c:v>
                </c:pt>
                <c:pt idx="341">
                  <c:v>44762</c:v>
                </c:pt>
                <c:pt idx="342">
                  <c:v>44763</c:v>
                </c:pt>
                <c:pt idx="343">
                  <c:v>44764</c:v>
                </c:pt>
                <c:pt idx="344">
                  <c:v>44767</c:v>
                </c:pt>
                <c:pt idx="345">
                  <c:v>44768</c:v>
                </c:pt>
                <c:pt idx="346">
                  <c:v>44769</c:v>
                </c:pt>
                <c:pt idx="347">
                  <c:v>44770</c:v>
                </c:pt>
                <c:pt idx="348">
                  <c:v>44771</c:v>
                </c:pt>
                <c:pt idx="349">
                  <c:v>44774</c:v>
                </c:pt>
                <c:pt idx="350">
                  <c:v>44775</c:v>
                </c:pt>
                <c:pt idx="351">
                  <c:v>44776</c:v>
                </c:pt>
                <c:pt idx="352">
                  <c:v>44777</c:v>
                </c:pt>
                <c:pt idx="353">
                  <c:v>44778</c:v>
                </c:pt>
                <c:pt idx="354">
                  <c:v>44781</c:v>
                </c:pt>
                <c:pt idx="355">
                  <c:v>44783</c:v>
                </c:pt>
                <c:pt idx="356">
                  <c:v>44784</c:v>
                </c:pt>
                <c:pt idx="357">
                  <c:v>44785</c:v>
                </c:pt>
                <c:pt idx="358">
                  <c:v>44789</c:v>
                </c:pt>
                <c:pt idx="359">
                  <c:v>44790</c:v>
                </c:pt>
                <c:pt idx="360">
                  <c:v>44791</c:v>
                </c:pt>
                <c:pt idx="361">
                  <c:v>44792</c:v>
                </c:pt>
                <c:pt idx="362">
                  <c:v>44795</c:v>
                </c:pt>
                <c:pt idx="363">
                  <c:v>44796</c:v>
                </c:pt>
                <c:pt idx="364">
                  <c:v>44797</c:v>
                </c:pt>
                <c:pt idx="365">
                  <c:v>44798</c:v>
                </c:pt>
                <c:pt idx="366">
                  <c:v>44799</c:v>
                </c:pt>
                <c:pt idx="367">
                  <c:v>44802</c:v>
                </c:pt>
                <c:pt idx="368">
                  <c:v>44803</c:v>
                </c:pt>
                <c:pt idx="369">
                  <c:v>44805</c:v>
                </c:pt>
                <c:pt idx="370">
                  <c:v>44806</c:v>
                </c:pt>
                <c:pt idx="371">
                  <c:v>44809</c:v>
                </c:pt>
                <c:pt idx="372">
                  <c:v>44810</c:v>
                </c:pt>
                <c:pt idx="373">
                  <c:v>44811</c:v>
                </c:pt>
                <c:pt idx="374">
                  <c:v>44812</c:v>
                </c:pt>
                <c:pt idx="375">
                  <c:v>44813</c:v>
                </c:pt>
                <c:pt idx="376">
                  <c:v>44816</c:v>
                </c:pt>
                <c:pt idx="377">
                  <c:v>44817</c:v>
                </c:pt>
                <c:pt idx="378">
                  <c:v>44818</c:v>
                </c:pt>
                <c:pt idx="379">
                  <c:v>44819</c:v>
                </c:pt>
                <c:pt idx="380">
                  <c:v>44820</c:v>
                </c:pt>
                <c:pt idx="381">
                  <c:v>44823</c:v>
                </c:pt>
                <c:pt idx="382">
                  <c:v>44824</c:v>
                </c:pt>
                <c:pt idx="383">
                  <c:v>44825</c:v>
                </c:pt>
                <c:pt idx="384">
                  <c:v>44826</c:v>
                </c:pt>
                <c:pt idx="385">
                  <c:v>44827</c:v>
                </c:pt>
                <c:pt idx="386">
                  <c:v>44830</c:v>
                </c:pt>
                <c:pt idx="387">
                  <c:v>44831</c:v>
                </c:pt>
                <c:pt idx="388">
                  <c:v>44832</c:v>
                </c:pt>
                <c:pt idx="389">
                  <c:v>44833</c:v>
                </c:pt>
                <c:pt idx="390">
                  <c:v>44834</c:v>
                </c:pt>
                <c:pt idx="391">
                  <c:v>44837</c:v>
                </c:pt>
                <c:pt idx="392">
                  <c:v>44838</c:v>
                </c:pt>
                <c:pt idx="393">
                  <c:v>44840</c:v>
                </c:pt>
                <c:pt idx="394">
                  <c:v>44841</c:v>
                </c:pt>
                <c:pt idx="395">
                  <c:v>44844</c:v>
                </c:pt>
                <c:pt idx="396">
                  <c:v>44845</c:v>
                </c:pt>
                <c:pt idx="397">
                  <c:v>44846</c:v>
                </c:pt>
                <c:pt idx="398">
                  <c:v>44847</c:v>
                </c:pt>
                <c:pt idx="399">
                  <c:v>44848</c:v>
                </c:pt>
                <c:pt idx="400">
                  <c:v>44851</c:v>
                </c:pt>
                <c:pt idx="401">
                  <c:v>44852</c:v>
                </c:pt>
                <c:pt idx="402">
                  <c:v>44853</c:v>
                </c:pt>
                <c:pt idx="403">
                  <c:v>44854</c:v>
                </c:pt>
                <c:pt idx="404">
                  <c:v>44855</c:v>
                </c:pt>
                <c:pt idx="405">
                  <c:v>44858</c:v>
                </c:pt>
                <c:pt idx="406">
                  <c:v>44859</c:v>
                </c:pt>
                <c:pt idx="407">
                  <c:v>44861</c:v>
                </c:pt>
                <c:pt idx="408">
                  <c:v>44862</c:v>
                </c:pt>
                <c:pt idx="409">
                  <c:v>44865</c:v>
                </c:pt>
                <c:pt idx="410">
                  <c:v>44866</c:v>
                </c:pt>
                <c:pt idx="411">
                  <c:v>44867</c:v>
                </c:pt>
                <c:pt idx="412">
                  <c:v>44868</c:v>
                </c:pt>
                <c:pt idx="413">
                  <c:v>44869</c:v>
                </c:pt>
                <c:pt idx="414">
                  <c:v>44872</c:v>
                </c:pt>
                <c:pt idx="415">
                  <c:v>44874</c:v>
                </c:pt>
                <c:pt idx="416">
                  <c:v>44875</c:v>
                </c:pt>
                <c:pt idx="417">
                  <c:v>44876</c:v>
                </c:pt>
                <c:pt idx="418">
                  <c:v>44879</c:v>
                </c:pt>
                <c:pt idx="419">
                  <c:v>44880</c:v>
                </c:pt>
                <c:pt idx="420">
                  <c:v>44881</c:v>
                </c:pt>
                <c:pt idx="421">
                  <c:v>44882</c:v>
                </c:pt>
                <c:pt idx="422">
                  <c:v>44883</c:v>
                </c:pt>
                <c:pt idx="423">
                  <c:v>44886</c:v>
                </c:pt>
                <c:pt idx="424">
                  <c:v>44887</c:v>
                </c:pt>
                <c:pt idx="425">
                  <c:v>44888</c:v>
                </c:pt>
                <c:pt idx="426">
                  <c:v>44889</c:v>
                </c:pt>
                <c:pt idx="427">
                  <c:v>44890</c:v>
                </c:pt>
                <c:pt idx="428">
                  <c:v>44893</c:v>
                </c:pt>
                <c:pt idx="429">
                  <c:v>44894</c:v>
                </c:pt>
                <c:pt idx="430">
                  <c:v>44895</c:v>
                </c:pt>
                <c:pt idx="431">
                  <c:v>44896</c:v>
                </c:pt>
                <c:pt idx="432">
                  <c:v>44897</c:v>
                </c:pt>
                <c:pt idx="433">
                  <c:v>44900</c:v>
                </c:pt>
                <c:pt idx="434">
                  <c:v>44901</c:v>
                </c:pt>
                <c:pt idx="435">
                  <c:v>44902</c:v>
                </c:pt>
                <c:pt idx="436">
                  <c:v>44903</c:v>
                </c:pt>
                <c:pt idx="437">
                  <c:v>44904</c:v>
                </c:pt>
                <c:pt idx="438">
                  <c:v>44907</c:v>
                </c:pt>
                <c:pt idx="439">
                  <c:v>44908</c:v>
                </c:pt>
                <c:pt idx="440">
                  <c:v>44909</c:v>
                </c:pt>
                <c:pt idx="441">
                  <c:v>44910</c:v>
                </c:pt>
                <c:pt idx="442">
                  <c:v>44911</c:v>
                </c:pt>
                <c:pt idx="443">
                  <c:v>44914</c:v>
                </c:pt>
                <c:pt idx="444">
                  <c:v>44915</c:v>
                </c:pt>
                <c:pt idx="445">
                  <c:v>44916</c:v>
                </c:pt>
                <c:pt idx="446">
                  <c:v>44917</c:v>
                </c:pt>
                <c:pt idx="447">
                  <c:v>44918</c:v>
                </c:pt>
                <c:pt idx="448">
                  <c:v>44921</c:v>
                </c:pt>
                <c:pt idx="449">
                  <c:v>44922</c:v>
                </c:pt>
                <c:pt idx="450">
                  <c:v>44923</c:v>
                </c:pt>
                <c:pt idx="451">
                  <c:v>44924</c:v>
                </c:pt>
                <c:pt idx="452">
                  <c:v>44925</c:v>
                </c:pt>
                <c:pt idx="453">
                  <c:v>44928</c:v>
                </c:pt>
                <c:pt idx="454">
                  <c:v>44929</c:v>
                </c:pt>
                <c:pt idx="455">
                  <c:v>44930</c:v>
                </c:pt>
                <c:pt idx="456">
                  <c:v>44931</c:v>
                </c:pt>
                <c:pt idx="457">
                  <c:v>44932</c:v>
                </c:pt>
                <c:pt idx="458">
                  <c:v>44935</c:v>
                </c:pt>
                <c:pt idx="459">
                  <c:v>44936</c:v>
                </c:pt>
                <c:pt idx="460">
                  <c:v>44937</c:v>
                </c:pt>
                <c:pt idx="461">
                  <c:v>44938</c:v>
                </c:pt>
                <c:pt idx="462">
                  <c:v>44939</c:v>
                </c:pt>
                <c:pt idx="463">
                  <c:v>44942</c:v>
                </c:pt>
                <c:pt idx="464">
                  <c:v>44943</c:v>
                </c:pt>
                <c:pt idx="465">
                  <c:v>44944</c:v>
                </c:pt>
                <c:pt idx="466">
                  <c:v>44945</c:v>
                </c:pt>
                <c:pt idx="467">
                  <c:v>44946</c:v>
                </c:pt>
                <c:pt idx="468">
                  <c:v>44949</c:v>
                </c:pt>
                <c:pt idx="469">
                  <c:v>44950</c:v>
                </c:pt>
                <c:pt idx="470">
                  <c:v>44951</c:v>
                </c:pt>
                <c:pt idx="471">
                  <c:v>44953</c:v>
                </c:pt>
                <c:pt idx="472">
                  <c:v>44956</c:v>
                </c:pt>
                <c:pt idx="473">
                  <c:v>44957</c:v>
                </c:pt>
                <c:pt idx="474">
                  <c:v>44958</c:v>
                </c:pt>
                <c:pt idx="475">
                  <c:v>44959</c:v>
                </c:pt>
                <c:pt idx="476">
                  <c:v>44960</c:v>
                </c:pt>
                <c:pt idx="477">
                  <c:v>44963</c:v>
                </c:pt>
                <c:pt idx="478">
                  <c:v>44964</c:v>
                </c:pt>
                <c:pt idx="479">
                  <c:v>44965</c:v>
                </c:pt>
                <c:pt idx="480">
                  <c:v>44966</c:v>
                </c:pt>
                <c:pt idx="481">
                  <c:v>44967</c:v>
                </c:pt>
                <c:pt idx="482">
                  <c:v>44970</c:v>
                </c:pt>
                <c:pt idx="483">
                  <c:v>44971</c:v>
                </c:pt>
                <c:pt idx="484">
                  <c:v>44972</c:v>
                </c:pt>
                <c:pt idx="485">
                  <c:v>44973</c:v>
                </c:pt>
                <c:pt idx="486">
                  <c:v>44974</c:v>
                </c:pt>
                <c:pt idx="487">
                  <c:v>44977</c:v>
                </c:pt>
                <c:pt idx="488">
                  <c:v>44978</c:v>
                </c:pt>
                <c:pt idx="489">
                  <c:v>44979</c:v>
                </c:pt>
                <c:pt idx="490">
                  <c:v>44980</c:v>
                </c:pt>
                <c:pt idx="491">
                  <c:v>44981</c:v>
                </c:pt>
                <c:pt idx="492">
                  <c:v>44984</c:v>
                </c:pt>
                <c:pt idx="493">
                  <c:v>44985</c:v>
                </c:pt>
                <c:pt idx="494">
                  <c:v>44986</c:v>
                </c:pt>
                <c:pt idx="495">
                  <c:v>44987</c:v>
                </c:pt>
                <c:pt idx="496">
                  <c:v>44988</c:v>
                </c:pt>
                <c:pt idx="497">
                  <c:v>44991</c:v>
                </c:pt>
                <c:pt idx="498">
                  <c:v>44993</c:v>
                </c:pt>
                <c:pt idx="499">
                  <c:v>44994</c:v>
                </c:pt>
                <c:pt idx="500">
                  <c:v>44995</c:v>
                </c:pt>
                <c:pt idx="501">
                  <c:v>44998</c:v>
                </c:pt>
                <c:pt idx="502">
                  <c:v>44999</c:v>
                </c:pt>
                <c:pt idx="503">
                  <c:v>45000</c:v>
                </c:pt>
                <c:pt idx="504">
                  <c:v>45001</c:v>
                </c:pt>
                <c:pt idx="505">
                  <c:v>45002</c:v>
                </c:pt>
                <c:pt idx="506">
                  <c:v>45005</c:v>
                </c:pt>
                <c:pt idx="507">
                  <c:v>45006</c:v>
                </c:pt>
                <c:pt idx="508">
                  <c:v>45007</c:v>
                </c:pt>
                <c:pt idx="509">
                  <c:v>45008</c:v>
                </c:pt>
                <c:pt idx="510">
                  <c:v>45009</c:v>
                </c:pt>
                <c:pt idx="511">
                  <c:v>45012</c:v>
                </c:pt>
                <c:pt idx="512">
                  <c:v>45013</c:v>
                </c:pt>
                <c:pt idx="513">
                  <c:v>45014</c:v>
                </c:pt>
                <c:pt idx="514">
                  <c:v>45016</c:v>
                </c:pt>
                <c:pt idx="515">
                  <c:v>45019</c:v>
                </c:pt>
                <c:pt idx="516">
                  <c:v>45021</c:v>
                </c:pt>
                <c:pt idx="517">
                  <c:v>45022</c:v>
                </c:pt>
                <c:pt idx="518">
                  <c:v>45026</c:v>
                </c:pt>
                <c:pt idx="519">
                  <c:v>45027</c:v>
                </c:pt>
                <c:pt idx="520">
                  <c:v>45028</c:v>
                </c:pt>
                <c:pt idx="521">
                  <c:v>45029</c:v>
                </c:pt>
                <c:pt idx="522">
                  <c:v>45033</c:v>
                </c:pt>
                <c:pt idx="523">
                  <c:v>45034</c:v>
                </c:pt>
                <c:pt idx="524">
                  <c:v>45035</c:v>
                </c:pt>
                <c:pt idx="525">
                  <c:v>45036</c:v>
                </c:pt>
                <c:pt idx="526">
                  <c:v>45037</c:v>
                </c:pt>
                <c:pt idx="527">
                  <c:v>45040</c:v>
                </c:pt>
                <c:pt idx="528">
                  <c:v>45041</c:v>
                </c:pt>
                <c:pt idx="529">
                  <c:v>45042</c:v>
                </c:pt>
                <c:pt idx="530">
                  <c:v>45043</c:v>
                </c:pt>
                <c:pt idx="531">
                  <c:v>45044</c:v>
                </c:pt>
                <c:pt idx="532">
                  <c:v>45048</c:v>
                </c:pt>
                <c:pt idx="533">
                  <c:v>45049</c:v>
                </c:pt>
                <c:pt idx="534">
                  <c:v>45050</c:v>
                </c:pt>
                <c:pt idx="535">
                  <c:v>45051</c:v>
                </c:pt>
                <c:pt idx="536">
                  <c:v>45054</c:v>
                </c:pt>
                <c:pt idx="537">
                  <c:v>45055</c:v>
                </c:pt>
                <c:pt idx="538">
                  <c:v>45056</c:v>
                </c:pt>
                <c:pt idx="539">
                  <c:v>45057</c:v>
                </c:pt>
                <c:pt idx="540">
                  <c:v>45058</c:v>
                </c:pt>
                <c:pt idx="541">
                  <c:v>45061</c:v>
                </c:pt>
                <c:pt idx="542">
                  <c:v>45062</c:v>
                </c:pt>
                <c:pt idx="543">
                  <c:v>45063</c:v>
                </c:pt>
                <c:pt idx="544">
                  <c:v>45064</c:v>
                </c:pt>
                <c:pt idx="545">
                  <c:v>45065</c:v>
                </c:pt>
                <c:pt idx="546">
                  <c:v>45068</c:v>
                </c:pt>
                <c:pt idx="547">
                  <c:v>45069</c:v>
                </c:pt>
                <c:pt idx="548">
                  <c:v>45070</c:v>
                </c:pt>
                <c:pt idx="549">
                  <c:v>45071</c:v>
                </c:pt>
                <c:pt idx="550">
                  <c:v>45072</c:v>
                </c:pt>
                <c:pt idx="551">
                  <c:v>45075</c:v>
                </c:pt>
                <c:pt idx="552">
                  <c:v>45076</c:v>
                </c:pt>
                <c:pt idx="553">
                  <c:v>45077</c:v>
                </c:pt>
                <c:pt idx="554">
                  <c:v>45078</c:v>
                </c:pt>
                <c:pt idx="555">
                  <c:v>45079</c:v>
                </c:pt>
                <c:pt idx="556">
                  <c:v>45082</c:v>
                </c:pt>
                <c:pt idx="557">
                  <c:v>45083</c:v>
                </c:pt>
                <c:pt idx="558">
                  <c:v>45084</c:v>
                </c:pt>
                <c:pt idx="559">
                  <c:v>45085</c:v>
                </c:pt>
                <c:pt idx="560">
                  <c:v>45086</c:v>
                </c:pt>
                <c:pt idx="561">
                  <c:v>45089</c:v>
                </c:pt>
                <c:pt idx="562">
                  <c:v>45090</c:v>
                </c:pt>
                <c:pt idx="563">
                  <c:v>45091</c:v>
                </c:pt>
                <c:pt idx="564">
                  <c:v>45092</c:v>
                </c:pt>
                <c:pt idx="565">
                  <c:v>45093</c:v>
                </c:pt>
                <c:pt idx="566">
                  <c:v>45096</c:v>
                </c:pt>
                <c:pt idx="567">
                  <c:v>45097</c:v>
                </c:pt>
                <c:pt idx="568">
                  <c:v>45098</c:v>
                </c:pt>
                <c:pt idx="569">
                  <c:v>45099</c:v>
                </c:pt>
                <c:pt idx="570">
                  <c:v>45100</c:v>
                </c:pt>
                <c:pt idx="571">
                  <c:v>45103</c:v>
                </c:pt>
                <c:pt idx="572">
                  <c:v>45104</c:v>
                </c:pt>
                <c:pt idx="573">
                  <c:v>45105</c:v>
                </c:pt>
                <c:pt idx="574">
                  <c:v>45107</c:v>
                </c:pt>
                <c:pt idx="575">
                  <c:v>45110</c:v>
                </c:pt>
                <c:pt idx="576">
                  <c:v>45111</c:v>
                </c:pt>
                <c:pt idx="577">
                  <c:v>45112</c:v>
                </c:pt>
                <c:pt idx="578">
                  <c:v>45113</c:v>
                </c:pt>
                <c:pt idx="579">
                  <c:v>45114</c:v>
                </c:pt>
                <c:pt idx="580">
                  <c:v>45117</c:v>
                </c:pt>
                <c:pt idx="581">
                  <c:v>45118</c:v>
                </c:pt>
                <c:pt idx="582">
                  <c:v>45119</c:v>
                </c:pt>
                <c:pt idx="583">
                  <c:v>45120</c:v>
                </c:pt>
                <c:pt idx="584">
                  <c:v>45121</c:v>
                </c:pt>
                <c:pt idx="585">
                  <c:v>45124</c:v>
                </c:pt>
                <c:pt idx="586">
                  <c:v>45125</c:v>
                </c:pt>
                <c:pt idx="587">
                  <c:v>45126</c:v>
                </c:pt>
                <c:pt idx="588">
                  <c:v>45127</c:v>
                </c:pt>
                <c:pt idx="589">
                  <c:v>45128</c:v>
                </c:pt>
                <c:pt idx="590">
                  <c:v>45131</c:v>
                </c:pt>
                <c:pt idx="591">
                  <c:v>45132</c:v>
                </c:pt>
                <c:pt idx="592">
                  <c:v>45133</c:v>
                </c:pt>
                <c:pt idx="593">
                  <c:v>45134</c:v>
                </c:pt>
                <c:pt idx="594">
                  <c:v>45135</c:v>
                </c:pt>
                <c:pt idx="595">
                  <c:v>45138</c:v>
                </c:pt>
                <c:pt idx="596">
                  <c:v>45139</c:v>
                </c:pt>
                <c:pt idx="597">
                  <c:v>45140</c:v>
                </c:pt>
                <c:pt idx="598">
                  <c:v>45141</c:v>
                </c:pt>
                <c:pt idx="599">
                  <c:v>45142</c:v>
                </c:pt>
                <c:pt idx="600">
                  <c:v>45145</c:v>
                </c:pt>
                <c:pt idx="601">
                  <c:v>45146</c:v>
                </c:pt>
                <c:pt idx="602">
                  <c:v>45147</c:v>
                </c:pt>
                <c:pt idx="603">
                  <c:v>45148</c:v>
                </c:pt>
                <c:pt idx="604">
                  <c:v>45149</c:v>
                </c:pt>
                <c:pt idx="605">
                  <c:v>45152</c:v>
                </c:pt>
                <c:pt idx="606">
                  <c:v>45154</c:v>
                </c:pt>
                <c:pt idx="607">
                  <c:v>45155</c:v>
                </c:pt>
                <c:pt idx="608">
                  <c:v>45156</c:v>
                </c:pt>
                <c:pt idx="609">
                  <c:v>45159</c:v>
                </c:pt>
                <c:pt idx="610">
                  <c:v>45160</c:v>
                </c:pt>
                <c:pt idx="611">
                  <c:v>45161</c:v>
                </c:pt>
                <c:pt idx="612">
                  <c:v>45162</c:v>
                </c:pt>
                <c:pt idx="613">
                  <c:v>45163</c:v>
                </c:pt>
                <c:pt idx="614">
                  <c:v>45166</c:v>
                </c:pt>
                <c:pt idx="615">
                  <c:v>45167</c:v>
                </c:pt>
                <c:pt idx="616">
                  <c:v>45168</c:v>
                </c:pt>
                <c:pt idx="617">
                  <c:v>45169</c:v>
                </c:pt>
                <c:pt idx="618">
                  <c:v>45170</c:v>
                </c:pt>
                <c:pt idx="619">
                  <c:v>45173</c:v>
                </c:pt>
                <c:pt idx="620">
                  <c:v>45174</c:v>
                </c:pt>
                <c:pt idx="621">
                  <c:v>45175</c:v>
                </c:pt>
                <c:pt idx="622">
                  <c:v>45176</c:v>
                </c:pt>
                <c:pt idx="623">
                  <c:v>45177</c:v>
                </c:pt>
                <c:pt idx="624">
                  <c:v>45180</c:v>
                </c:pt>
                <c:pt idx="625">
                  <c:v>45181</c:v>
                </c:pt>
                <c:pt idx="626">
                  <c:v>45182</c:v>
                </c:pt>
                <c:pt idx="627">
                  <c:v>45183</c:v>
                </c:pt>
                <c:pt idx="628">
                  <c:v>45184</c:v>
                </c:pt>
                <c:pt idx="629">
                  <c:v>45187</c:v>
                </c:pt>
                <c:pt idx="630">
                  <c:v>45189</c:v>
                </c:pt>
                <c:pt idx="631">
                  <c:v>45190</c:v>
                </c:pt>
                <c:pt idx="632">
                  <c:v>45191</c:v>
                </c:pt>
                <c:pt idx="633">
                  <c:v>45194</c:v>
                </c:pt>
                <c:pt idx="634">
                  <c:v>45195</c:v>
                </c:pt>
                <c:pt idx="635">
                  <c:v>45196</c:v>
                </c:pt>
                <c:pt idx="636">
                  <c:v>45197</c:v>
                </c:pt>
                <c:pt idx="637">
                  <c:v>45198</c:v>
                </c:pt>
                <c:pt idx="638">
                  <c:v>45202</c:v>
                </c:pt>
                <c:pt idx="639">
                  <c:v>45203</c:v>
                </c:pt>
                <c:pt idx="640">
                  <c:v>45204</c:v>
                </c:pt>
                <c:pt idx="641">
                  <c:v>45205</c:v>
                </c:pt>
                <c:pt idx="642">
                  <c:v>45208</c:v>
                </c:pt>
                <c:pt idx="643">
                  <c:v>45209</c:v>
                </c:pt>
                <c:pt idx="644">
                  <c:v>45210</c:v>
                </c:pt>
                <c:pt idx="645">
                  <c:v>45211</c:v>
                </c:pt>
                <c:pt idx="646">
                  <c:v>45212</c:v>
                </c:pt>
                <c:pt idx="647">
                  <c:v>45215</c:v>
                </c:pt>
                <c:pt idx="648">
                  <c:v>45216</c:v>
                </c:pt>
                <c:pt idx="649">
                  <c:v>45217</c:v>
                </c:pt>
                <c:pt idx="650">
                  <c:v>45218</c:v>
                </c:pt>
                <c:pt idx="651">
                  <c:v>45219</c:v>
                </c:pt>
                <c:pt idx="652">
                  <c:v>45222</c:v>
                </c:pt>
                <c:pt idx="653">
                  <c:v>45224</c:v>
                </c:pt>
                <c:pt idx="654">
                  <c:v>45225</c:v>
                </c:pt>
                <c:pt idx="655">
                  <c:v>45226</c:v>
                </c:pt>
                <c:pt idx="656">
                  <c:v>45229</c:v>
                </c:pt>
                <c:pt idx="657">
                  <c:v>45230</c:v>
                </c:pt>
                <c:pt idx="658">
                  <c:v>45231</c:v>
                </c:pt>
                <c:pt idx="659">
                  <c:v>45232</c:v>
                </c:pt>
                <c:pt idx="660">
                  <c:v>45233</c:v>
                </c:pt>
                <c:pt idx="661">
                  <c:v>45236</c:v>
                </c:pt>
                <c:pt idx="662">
                  <c:v>45237</c:v>
                </c:pt>
                <c:pt idx="663">
                  <c:v>45238</c:v>
                </c:pt>
                <c:pt idx="664">
                  <c:v>45239</c:v>
                </c:pt>
                <c:pt idx="665">
                  <c:v>45240</c:v>
                </c:pt>
                <c:pt idx="666">
                  <c:v>45242</c:v>
                </c:pt>
                <c:pt idx="667">
                  <c:v>45243</c:v>
                </c:pt>
                <c:pt idx="668">
                  <c:v>45245</c:v>
                </c:pt>
                <c:pt idx="669">
                  <c:v>45246</c:v>
                </c:pt>
                <c:pt idx="670">
                  <c:v>45247</c:v>
                </c:pt>
                <c:pt idx="671">
                  <c:v>45250</c:v>
                </c:pt>
                <c:pt idx="672">
                  <c:v>45251</c:v>
                </c:pt>
                <c:pt idx="673">
                  <c:v>45252</c:v>
                </c:pt>
                <c:pt idx="674">
                  <c:v>45253</c:v>
                </c:pt>
                <c:pt idx="675">
                  <c:v>45254</c:v>
                </c:pt>
                <c:pt idx="676">
                  <c:v>45258</c:v>
                </c:pt>
                <c:pt idx="677">
                  <c:v>45259</c:v>
                </c:pt>
                <c:pt idx="678">
                  <c:v>45260</c:v>
                </c:pt>
                <c:pt idx="679">
                  <c:v>45261</c:v>
                </c:pt>
                <c:pt idx="680">
                  <c:v>45264</c:v>
                </c:pt>
                <c:pt idx="681">
                  <c:v>45265</c:v>
                </c:pt>
                <c:pt idx="682">
                  <c:v>45266</c:v>
                </c:pt>
                <c:pt idx="683">
                  <c:v>45267</c:v>
                </c:pt>
                <c:pt idx="684">
                  <c:v>45268</c:v>
                </c:pt>
                <c:pt idx="685">
                  <c:v>45271</c:v>
                </c:pt>
                <c:pt idx="686">
                  <c:v>45272</c:v>
                </c:pt>
                <c:pt idx="687">
                  <c:v>45273</c:v>
                </c:pt>
                <c:pt idx="688">
                  <c:v>45274</c:v>
                </c:pt>
                <c:pt idx="689">
                  <c:v>45275</c:v>
                </c:pt>
                <c:pt idx="690">
                  <c:v>45278</c:v>
                </c:pt>
                <c:pt idx="691">
                  <c:v>45279</c:v>
                </c:pt>
                <c:pt idx="692">
                  <c:v>45280</c:v>
                </c:pt>
                <c:pt idx="693">
                  <c:v>45281</c:v>
                </c:pt>
                <c:pt idx="694">
                  <c:v>45282</c:v>
                </c:pt>
                <c:pt idx="695">
                  <c:v>45286</c:v>
                </c:pt>
                <c:pt idx="696">
                  <c:v>45287</c:v>
                </c:pt>
                <c:pt idx="697">
                  <c:v>45288</c:v>
                </c:pt>
                <c:pt idx="698">
                  <c:v>45289</c:v>
                </c:pt>
                <c:pt idx="699">
                  <c:v>45292</c:v>
                </c:pt>
                <c:pt idx="700">
                  <c:v>45293</c:v>
                </c:pt>
                <c:pt idx="701">
                  <c:v>45294</c:v>
                </c:pt>
                <c:pt idx="702">
                  <c:v>45295</c:v>
                </c:pt>
                <c:pt idx="703">
                  <c:v>45296</c:v>
                </c:pt>
                <c:pt idx="704">
                  <c:v>45299</c:v>
                </c:pt>
                <c:pt idx="705">
                  <c:v>45300</c:v>
                </c:pt>
                <c:pt idx="706">
                  <c:v>45301</c:v>
                </c:pt>
                <c:pt idx="707">
                  <c:v>45302</c:v>
                </c:pt>
                <c:pt idx="708">
                  <c:v>45303</c:v>
                </c:pt>
                <c:pt idx="709">
                  <c:v>45306</c:v>
                </c:pt>
                <c:pt idx="710">
                  <c:v>45307</c:v>
                </c:pt>
                <c:pt idx="711">
                  <c:v>45308</c:v>
                </c:pt>
                <c:pt idx="712">
                  <c:v>45309</c:v>
                </c:pt>
                <c:pt idx="713">
                  <c:v>45310</c:v>
                </c:pt>
                <c:pt idx="714">
                  <c:v>45311</c:v>
                </c:pt>
                <c:pt idx="715">
                  <c:v>45314</c:v>
                </c:pt>
                <c:pt idx="716">
                  <c:v>45315</c:v>
                </c:pt>
                <c:pt idx="717">
                  <c:v>45316</c:v>
                </c:pt>
                <c:pt idx="718">
                  <c:v>45320</c:v>
                </c:pt>
                <c:pt idx="719">
                  <c:v>45321</c:v>
                </c:pt>
                <c:pt idx="720">
                  <c:v>45322</c:v>
                </c:pt>
                <c:pt idx="721">
                  <c:v>45323</c:v>
                </c:pt>
                <c:pt idx="722">
                  <c:v>45324</c:v>
                </c:pt>
                <c:pt idx="723">
                  <c:v>45327</c:v>
                </c:pt>
                <c:pt idx="724">
                  <c:v>45328</c:v>
                </c:pt>
                <c:pt idx="725">
                  <c:v>45329</c:v>
                </c:pt>
                <c:pt idx="726">
                  <c:v>45330</c:v>
                </c:pt>
                <c:pt idx="727">
                  <c:v>45331</c:v>
                </c:pt>
                <c:pt idx="728">
                  <c:v>45334</c:v>
                </c:pt>
                <c:pt idx="729">
                  <c:v>45335</c:v>
                </c:pt>
                <c:pt idx="730">
                  <c:v>45336</c:v>
                </c:pt>
                <c:pt idx="731">
                  <c:v>45337</c:v>
                </c:pt>
                <c:pt idx="732">
                  <c:v>45338</c:v>
                </c:pt>
                <c:pt idx="733">
                  <c:v>45341</c:v>
                </c:pt>
                <c:pt idx="734">
                  <c:v>45342</c:v>
                </c:pt>
                <c:pt idx="735">
                  <c:v>45343</c:v>
                </c:pt>
                <c:pt idx="736">
                  <c:v>45344</c:v>
                </c:pt>
                <c:pt idx="737">
                  <c:v>45345</c:v>
                </c:pt>
                <c:pt idx="738">
                  <c:v>45348</c:v>
                </c:pt>
                <c:pt idx="739">
                  <c:v>45349</c:v>
                </c:pt>
                <c:pt idx="740">
                  <c:v>45350</c:v>
                </c:pt>
                <c:pt idx="741">
                  <c:v>45351</c:v>
                </c:pt>
                <c:pt idx="742">
                  <c:v>45352</c:v>
                </c:pt>
                <c:pt idx="743">
                  <c:v>45353</c:v>
                </c:pt>
                <c:pt idx="744">
                  <c:v>45355</c:v>
                </c:pt>
                <c:pt idx="745">
                  <c:v>45356</c:v>
                </c:pt>
                <c:pt idx="746">
                  <c:v>45357</c:v>
                </c:pt>
                <c:pt idx="747">
                  <c:v>45358</c:v>
                </c:pt>
                <c:pt idx="748">
                  <c:v>45362</c:v>
                </c:pt>
                <c:pt idx="749">
                  <c:v>45363</c:v>
                </c:pt>
                <c:pt idx="750">
                  <c:v>45364</c:v>
                </c:pt>
                <c:pt idx="751">
                  <c:v>45365</c:v>
                </c:pt>
                <c:pt idx="752">
                  <c:v>45366</c:v>
                </c:pt>
                <c:pt idx="753">
                  <c:v>45369</c:v>
                </c:pt>
                <c:pt idx="754">
                  <c:v>45370</c:v>
                </c:pt>
                <c:pt idx="755">
                  <c:v>45371</c:v>
                </c:pt>
                <c:pt idx="756">
                  <c:v>45372</c:v>
                </c:pt>
                <c:pt idx="757">
                  <c:v>45373</c:v>
                </c:pt>
                <c:pt idx="758">
                  <c:v>45377</c:v>
                </c:pt>
                <c:pt idx="759">
                  <c:v>45378</c:v>
                </c:pt>
                <c:pt idx="760">
                  <c:v>45379</c:v>
                </c:pt>
                <c:pt idx="761">
                  <c:v>45383</c:v>
                </c:pt>
                <c:pt idx="762">
                  <c:v>45384</c:v>
                </c:pt>
                <c:pt idx="763">
                  <c:v>45385</c:v>
                </c:pt>
                <c:pt idx="764">
                  <c:v>45386</c:v>
                </c:pt>
                <c:pt idx="765">
                  <c:v>45387</c:v>
                </c:pt>
                <c:pt idx="766">
                  <c:v>45390</c:v>
                </c:pt>
                <c:pt idx="767">
                  <c:v>45391</c:v>
                </c:pt>
                <c:pt idx="768">
                  <c:v>45392</c:v>
                </c:pt>
                <c:pt idx="769">
                  <c:v>45394</c:v>
                </c:pt>
                <c:pt idx="770">
                  <c:v>45397</c:v>
                </c:pt>
                <c:pt idx="771">
                  <c:v>45398</c:v>
                </c:pt>
                <c:pt idx="772">
                  <c:v>45400</c:v>
                </c:pt>
                <c:pt idx="773">
                  <c:v>45401</c:v>
                </c:pt>
                <c:pt idx="774">
                  <c:v>45404</c:v>
                </c:pt>
                <c:pt idx="775">
                  <c:v>45405</c:v>
                </c:pt>
                <c:pt idx="776">
                  <c:v>45406</c:v>
                </c:pt>
                <c:pt idx="777">
                  <c:v>45407</c:v>
                </c:pt>
                <c:pt idx="778">
                  <c:v>45408</c:v>
                </c:pt>
                <c:pt idx="779">
                  <c:v>45411</c:v>
                </c:pt>
                <c:pt idx="780">
                  <c:v>45412</c:v>
                </c:pt>
                <c:pt idx="781">
                  <c:v>45414</c:v>
                </c:pt>
                <c:pt idx="782">
                  <c:v>45415</c:v>
                </c:pt>
                <c:pt idx="783">
                  <c:v>45418</c:v>
                </c:pt>
                <c:pt idx="784">
                  <c:v>45419</c:v>
                </c:pt>
                <c:pt idx="785">
                  <c:v>45420</c:v>
                </c:pt>
                <c:pt idx="786">
                  <c:v>45421</c:v>
                </c:pt>
                <c:pt idx="787">
                  <c:v>45422</c:v>
                </c:pt>
                <c:pt idx="788">
                  <c:v>45425</c:v>
                </c:pt>
                <c:pt idx="789">
                  <c:v>45426</c:v>
                </c:pt>
                <c:pt idx="790">
                  <c:v>45427</c:v>
                </c:pt>
                <c:pt idx="791">
                  <c:v>45428</c:v>
                </c:pt>
                <c:pt idx="792">
                  <c:v>45429</c:v>
                </c:pt>
                <c:pt idx="793">
                  <c:v>45430</c:v>
                </c:pt>
                <c:pt idx="794">
                  <c:v>45433</c:v>
                </c:pt>
                <c:pt idx="795">
                  <c:v>45434</c:v>
                </c:pt>
                <c:pt idx="796">
                  <c:v>45435</c:v>
                </c:pt>
                <c:pt idx="797">
                  <c:v>45436</c:v>
                </c:pt>
                <c:pt idx="798">
                  <c:v>45439</c:v>
                </c:pt>
                <c:pt idx="799">
                  <c:v>45440</c:v>
                </c:pt>
                <c:pt idx="800">
                  <c:v>45441</c:v>
                </c:pt>
                <c:pt idx="801">
                  <c:v>45442</c:v>
                </c:pt>
                <c:pt idx="802">
                  <c:v>45443</c:v>
                </c:pt>
                <c:pt idx="803">
                  <c:v>45446</c:v>
                </c:pt>
                <c:pt idx="804">
                  <c:v>45447</c:v>
                </c:pt>
                <c:pt idx="805">
                  <c:v>45448</c:v>
                </c:pt>
                <c:pt idx="806">
                  <c:v>45449</c:v>
                </c:pt>
                <c:pt idx="807">
                  <c:v>45450</c:v>
                </c:pt>
                <c:pt idx="808">
                  <c:v>45453</c:v>
                </c:pt>
                <c:pt idx="809">
                  <c:v>45454</c:v>
                </c:pt>
                <c:pt idx="810">
                  <c:v>45455</c:v>
                </c:pt>
                <c:pt idx="811">
                  <c:v>45456</c:v>
                </c:pt>
                <c:pt idx="812">
                  <c:v>45457</c:v>
                </c:pt>
                <c:pt idx="813">
                  <c:v>45461</c:v>
                </c:pt>
                <c:pt idx="814">
                  <c:v>45462</c:v>
                </c:pt>
                <c:pt idx="815">
                  <c:v>45463</c:v>
                </c:pt>
                <c:pt idx="816">
                  <c:v>45464</c:v>
                </c:pt>
                <c:pt idx="817">
                  <c:v>45467</c:v>
                </c:pt>
                <c:pt idx="818">
                  <c:v>45468</c:v>
                </c:pt>
                <c:pt idx="819">
                  <c:v>45469</c:v>
                </c:pt>
                <c:pt idx="820">
                  <c:v>45470</c:v>
                </c:pt>
                <c:pt idx="821">
                  <c:v>45471</c:v>
                </c:pt>
                <c:pt idx="822">
                  <c:v>45474</c:v>
                </c:pt>
                <c:pt idx="823">
                  <c:v>45475</c:v>
                </c:pt>
                <c:pt idx="824">
                  <c:v>45476</c:v>
                </c:pt>
                <c:pt idx="825">
                  <c:v>45477</c:v>
                </c:pt>
                <c:pt idx="826">
                  <c:v>45478</c:v>
                </c:pt>
                <c:pt idx="827">
                  <c:v>45481</c:v>
                </c:pt>
                <c:pt idx="828">
                  <c:v>45482</c:v>
                </c:pt>
                <c:pt idx="829">
                  <c:v>45483</c:v>
                </c:pt>
                <c:pt idx="830">
                  <c:v>45484</c:v>
                </c:pt>
                <c:pt idx="831">
                  <c:v>45485</c:v>
                </c:pt>
                <c:pt idx="832">
                  <c:v>45488</c:v>
                </c:pt>
                <c:pt idx="833">
                  <c:v>45489</c:v>
                </c:pt>
                <c:pt idx="834">
                  <c:v>45491</c:v>
                </c:pt>
                <c:pt idx="835">
                  <c:v>45492</c:v>
                </c:pt>
                <c:pt idx="836">
                  <c:v>45495</c:v>
                </c:pt>
                <c:pt idx="837">
                  <c:v>45496</c:v>
                </c:pt>
                <c:pt idx="838">
                  <c:v>45497</c:v>
                </c:pt>
                <c:pt idx="839">
                  <c:v>45498</c:v>
                </c:pt>
                <c:pt idx="840">
                  <c:v>45499</c:v>
                </c:pt>
                <c:pt idx="841">
                  <c:v>45502</c:v>
                </c:pt>
                <c:pt idx="842">
                  <c:v>45503</c:v>
                </c:pt>
                <c:pt idx="843">
                  <c:v>45504</c:v>
                </c:pt>
                <c:pt idx="844">
                  <c:v>45505</c:v>
                </c:pt>
                <c:pt idx="845">
                  <c:v>45506</c:v>
                </c:pt>
                <c:pt idx="846">
                  <c:v>45509</c:v>
                </c:pt>
                <c:pt idx="847">
                  <c:v>45510</c:v>
                </c:pt>
                <c:pt idx="848">
                  <c:v>45511</c:v>
                </c:pt>
                <c:pt idx="849">
                  <c:v>45512</c:v>
                </c:pt>
                <c:pt idx="850">
                  <c:v>45513</c:v>
                </c:pt>
                <c:pt idx="851">
                  <c:v>45516</c:v>
                </c:pt>
                <c:pt idx="852">
                  <c:v>45517</c:v>
                </c:pt>
                <c:pt idx="853">
                  <c:v>45518</c:v>
                </c:pt>
                <c:pt idx="854">
                  <c:v>45520</c:v>
                </c:pt>
                <c:pt idx="855">
                  <c:v>45523</c:v>
                </c:pt>
                <c:pt idx="856">
                  <c:v>45524</c:v>
                </c:pt>
                <c:pt idx="857">
                  <c:v>45525</c:v>
                </c:pt>
                <c:pt idx="858">
                  <c:v>45526</c:v>
                </c:pt>
                <c:pt idx="859">
                  <c:v>45527</c:v>
                </c:pt>
                <c:pt idx="860">
                  <c:v>45530</c:v>
                </c:pt>
                <c:pt idx="861">
                  <c:v>45531</c:v>
                </c:pt>
                <c:pt idx="862">
                  <c:v>45532</c:v>
                </c:pt>
                <c:pt idx="863">
                  <c:v>45533</c:v>
                </c:pt>
                <c:pt idx="864">
                  <c:v>45534</c:v>
                </c:pt>
                <c:pt idx="865">
                  <c:v>45537</c:v>
                </c:pt>
                <c:pt idx="866">
                  <c:v>45538</c:v>
                </c:pt>
                <c:pt idx="867">
                  <c:v>45539</c:v>
                </c:pt>
                <c:pt idx="868">
                  <c:v>45540</c:v>
                </c:pt>
                <c:pt idx="869">
                  <c:v>45541</c:v>
                </c:pt>
                <c:pt idx="870">
                  <c:v>45544</c:v>
                </c:pt>
                <c:pt idx="871">
                  <c:v>45545</c:v>
                </c:pt>
                <c:pt idx="872">
                  <c:v>45546</c:v>
                </c:pt>
                <c:pt idx="873">
                  <c:v>45547</c:v>
                </c:pt>
                <c:pt idx="874">
                  <c:v>45548</c:v>
                </c:pt>
                <c:pt idx="875">
                  <c:v>45551</c:v>
                </c:pt>
                <c:pt idx="876">
                  <c:v>45552</c:v>
                </c:pt>
                <c:pt idx="877">
                  <c:v>45553</c:v>
                </c:pt>
                <c:pt idx="878">
                  <c:v>45554</c:v>
                </c:pt>
                <c:pt idx="879">
                  <c:v>45555</c:v>
                </c:pt>
                <c:pt idx="880">
                  <c:v>45558</c:v>
                </c:pt>
                <c:pt idx="881">
                  <c:v>45559</c:v>
                </c:pt>
                <c:pt idx="882">
                  <c:v>45560</c:v>
                </c:pt>
                <c:pt idx="883">
                  <c:v>45561</c:v>
                </c:pt>
                <c:pt idx="884">
                  <c:v>45562</c:v>
                </c:pt>
                <c:pt idx="885">
                  <c:v>45565</c:v>
                </c:pt>
                <c:pt idx="886">
                  <c:v>45566</c:v>
                </c:pt>
                <c:pt idx="887">
                  <c:v>45568</c:v>
                </c:pt>
                <c:pt idx="888">
                  <c:v>45569</c:v>
                </c:pt>
                <c:pt idx="889">
                  <c:v>45572</c:v>
                </c:pt>
                <c:pt idx="890">
                  <c:v>45573</c:v>
                </c:pt>
                <c:pt idx="891">
                  <c:v>45574</c:v>
                </c:pt>
                <c:pt idx="892">
                  <c:v>45575</c:v>
                </c:pt>
                <c:pt idx="893">
                  <c:v>45576</c:v>
                </c:pt>
                <c:pt idx="894">
                  <c:v>45579</c:v>
                </c:pt>
                <c:pt idx="895">
                  <c:v>45580</c:v>
                </c:pt>
                <c:pt idx="896">
                  <c:v>45581</c:v>
                </c:pt>
                <c:pt idx="897">
                  <c:v>45582</c:v>
                </c:pt>
                <c:pt idx="898">
                  <c:v>45583</c:v>
                </c:pt>
                <c:pt idx="899">
                  <c:v>45586</c:v>
                </c:pt>
                <c:pt idx="900">
                  <c:v>45587</c:v>
                </c:pt>
                <c:pt idx="901">
                  <c:v>45588</c:v>
                </c:pt>
                <c:pt idx="902">
                  <c:v>45589</c:v>
                </c:pt>
                <c:pt idx="903">
                  <c:v>45590</c:v>
                </c:pt>
                <c:pt idx="904">
                  <c:v>45593</c:v>
                </c:pt>
                <c:pt idx="905">
                  <c:v>45594</c:v>
                </c:pt>
                <c:pt idx="906">
                  <c:v>45595</c:v>
                </c:pt>
                <c:pt idx="907">
                  <c:v>45596</c:v>
                </c:pt>
                <c:pt idx="908">
                  <c:v>45597</c:v>
                </c:pt>
                <c:pt idx="909">
                  <c:v>45600</c:v>
                </c:pt>
                <c:pt idx="910">
                  <c:v>45601</c:v>
                </c:pt>
                <c:pt idx="911">
                  <c:v>45602</c:v>
                </c:pt>
                <c:pt idx="912">
                  <c:v>45603</c:v>
                </c:pt>
                <c:pt idx="913">
                  <c:v>45604</c:v>
                </c:pt>
                <c:pt idx="914">
                  <c:v>45607</c:v>
                </c:pt>
                <c:pt idx="915">
                  <c:v>45608</c:v>
                </c:pt>
                <c:pt idx="916">
                  <c:v>45609</c:v>
                </c:pt>
                <c:pt idx="917">
                  <c:v>45610</c:v>
                </c:pt>
                <c:pt idx="918">
                  <c:v>45614</c:v>
                </c:pt>
                <c:pt idx="919">
                  <c:v>45615</c:v>
                </c:pt>
                <c:pt idx="920">
                  <c:v>45617</c:v>
                </c:pt>
                <c:pt idx="921">
                  <c:v>45618</c:v>
                </c:pt>
                <c:pt idx="922">
                  <c:v>45621</c:v>
                </c:pt>
                <c:pt idx="923">
                  <c:v>45622</c:v>
                </c:pt>
                <c:pt idx="924">
                  <c:v>45623</c:v>
                </c:pt>
                <c:pt idx="925">
                  <c:v>45624</c:v>
                </c:pt>
                <c:pt idx="926">
                  <c:v>45625</c:v>
                </c:pt>
                <c:pt idx="927">
                  <c:v>45628</c:v>
                </c:pt>
                <c:pt idx="928">
                  <c:v>45629</c:v>
                </c:pt>
                <c:pt idx="929">
                  <c:v>45630</c:v>
                </c:pt>
                <c:pt idx="930">
                  <c:v>45631</c:v>
                </c:pt>
                <c:pt idx="931">
                  <c:v>45632</c:v>
                </c:pt>
                <c:pt idx="932">
                  <c:v>45635</c:v>
                </c:pt>
                <c:pt idx="933">
                  <c:v>45636</c:v>
                </c:pt>
                <c:pt idx="934">
                  <c:v>45637</c:v>
                </c:pt>
                <c:pt idx="935">
                  <c:v>45638</c:v>
                </c:pt>
                <c:pt idx="936">
                  <c:v>45639</c:v>
                </c:pt>
                <c:pt idx="937">
                  <c:v>45642</c:v>
                </c:pt>
                <c:pt idx="938">
                  <c:v>45643</c:v>
                </c:pt>
                <c:pt idx="939">
                  <c:v>45644</c:v>
                </c:pt>
                <c:pt idx="940">
                  <c:v>45645</c:v>
                </c:pt>
                <c:pt idx="941">
                  <c:v>45646</c:v>
                </c:pt>
                <c:pt idx="942">
                  <c:v>45649</c:v>
                </c:pt>
                <c:pt idx="943">
                  <c:v>45650</c:v>
                </c:pt>
                <c:pt idx="944">
                  <c:v>45652</c:v>
                </c:pt>
                <c:pt idx="945">
                  <c:v>45653</c:v>
                </c:pt>
                <c:pt idx="946">
                  <c:v>45656</c:v>
                </c:pt>
                <c:pt idx="947">
                  <c:v>45657</c:v>
                </c:pt>
                <c:pt idx="948">
                  <c:v>45658</c:v>
                </c:pt>
                <c:pt idx="949">
                  <c:v>45659</c:v>
                </c:pt>
                <c:pt idx="950">
                  <c:v>45660</c:v>
                </c:pt>
                <c:pt idx="951">
                  <c:v>45663</c:v>
                </c:pt>
                <c:pt idx="952">
                  <c:v>45664</c:v>
                </c:pt>
                <c:pt idx="953">
                  <c:v>45665</c:v>
                </c:pt>
                <c:pt idx="954">
                  <c:v>45666</c:v>
                </c:pt>
                <c:pt idx="955">
                  <c:v>45667</c:v>
                </c:pt>
                <c:pt idx="956">
                  <c:v>45670</c:v>
                </c:pt>
                <c:pt idx="957">
                  <c:v>45671</c:v>
                </c:pt>
                <c:pt idx="958">
                  <c:v>45672</c:v>
                </c:pt>
                <c:pt idx="959">
                  <c:v>45673</c:v>
                </c:pt>
                <c:pt idx="960">
                  <c:v>45674</c:v>
                </c:pt>
                <c:pt idx="961">
                  <c:v>45677</c:v>
                </c:pt>
                <c:pt idx="962">
                  <c:v>45678</c:v>
                </c:pt>
                <c:pt idx="963">
                  <c:v>45679</c:v>
                </c:pt>
                <c:pt idx="964">
                  <c:v>45680</c:v>
                </c:pt>
                <c:pt idx="965">
                  <c:v>45681</c:v>
                </c:pt>
                <c:pt idx="966">
                  <c:v>45684</c:v>
                </c:pt>
                <c:pt idx="967">
                  <c:v>45685</c:v>
                </c:pt>
                <c:pt idx="968">
                  <c:v>45686</c:v>
                </c:pt>
                <c:pt idx="969">
                  <c:v>45687</c:v>
                </c:pt>
                <c:pt idx="970">
                  <c:v>45688</c:v>
                </c:pt>
                <c:pt idx="971">
                  <c:v>45689</c:v>
                </c:pt>
                <c:pt idx="972">
                  <c:v>45691</c:v>
                </c:pt>
                <c:pt idx="973">
                  <c:v>45692</c:v>
                </c:pt>
                <c:pt idx="974">
                  <c:v>45693</c:v>
                </c:pt>
                <c:pt idx="975">
                  <c:v>45694</c:v>
                </c:pt>
                <c:pt idx="976">
                  <c:v>45695</c:v>
                </c:pt>
                <c:pt idx="977">
                  <c:v>45698</c:v>
                </c:pt>
                <c:pt idx="978">
                  <c:v>45699</c:v>
                </c:pt>
                <c:pt idx="979">
                  <c:v>45700</c:v>
                </c:pt>
                <c:pt idx="980">
                  <c:v>45701</c:v>
                </c:pt>
                <c:pt idx="981">
                  <c:v>45702</c:v>
                </c:pt>
                <c:pt idx="982">
                  <c:v>45705</c:v>
                </c:pt>
                <c:pt idx="983">
                  <c:v>45706</c:v>
                </c:pt>
                <c:pt idx="984">
                  <c:v>45707</c:v>
                </c:pt>
                <c:pt idx="985">
                  <c:v>45708</c:v>
                </c:pt>
                <c:pt idx="986">
                  <c:v>45709</c:v>
                </c:pt>
                <c:pt idx="987">
                  <c:v>45712</c:v>
                </c:pt>
                <c:pt idx="988">
                  <c:v>45713</c:v>
                </c:pt>
                <c:pt idx="989">
                  <c:v>45715</c:v>
                </c:pt>
                <c:pt idx="990">
                  <c:v>45716</c:v>
                </c:pt>
                <c:pt idx="991">
                  <c:v>45719</c:v>
                </c:pt>
                <c:pt idx="992">
                  <c:v>45720</c:v>
                </c:pt>
                <c:pt idx="993">
                  <c:v>45721</c:v>
                </c:pt>
                <c:pt idx="994">
                  <c:v>45722</c:v>
                </c:pt>
                <c:pt idx="995">
                  <c:v>45723</c:v>
                </c:pt>
                <c:pt idx="996">
                  <c:v>45726</c:v>
                </c:pt>
                <c:pt idx="997">
                  <c:v>45727</c:v>
                </c:pt>
                <c:pt idx="998">
                  <c:v>45728</c:v>
                </c:pt>
                <c:pt idx="999">
                  <c:v>45729</c:v>
                </c:pt>
                <c:pt idx="1000">
                  <c:v>45733</c:v>
                </c:pt>
                <c:pt idx="1001">
                  <c:v>45734</c:v>
                </c:pt>
                <c:pt idx="1002">
                  <c:v>45735</c:v>
                </c:pt>
                <c:pt idx="1003">
                  <c:v>45736</c:v>
                </c:pt>
                <c:pt idx="1004">
                  <c:v>45737</c:v>
                </c:pt>
                <c:pt idx="1005">
                  <c:v>45740</c:v>
                </c:pt>
                <c:pt idx="1006">
                  <c:v>45741</c:v>
                </c:pt>
                <c:pt idx="1007">
                  <c:v>45742</c:v>
                </c:pt>
                <c:pt idx="1008">
                  <c:v>45743</c:v>
                </c:pt>
                <c:pt idx="1009">
                  <c:v>45744</c:v>
                </c:pt>
                <c:pt idx="1010">
                  <c:v>45748</c:v>
                </c:pt>
                <c:pt idx="1011">
                  <c:v>45749</c:v>
                </c:pt>
                <c:pt idx="1012">
                  <c:v>45750</c:v>
                </c:pt>
                <c:pt idx="1013">
                  <c:v>45751</c:v>
                </c:pt>
                <c:pt idx="1014">
                  <c:v>45754</c:v>
                </c:pt>
                <c:pt idx="1015">
                  <c:v>45755</c:v>
                </c:pt>
                <c:pt idx="1016">
                  <c:v>45756</c:v>
                </c:pt>
                <c:pt idx="1017">
                  <c:v>45758</c:v>
                </c:pt>
                <c:pt idx="1018">
                  <c:v>45762</c:v>
                </c:pt>
                <c:pt idx="1019">
                  <c:v>45763</c:v>
                </c:pt>
                <c:pt idx="1020">
                  <c:v>45764</c:v>
                </c:pt>
                <c:pt idx="1021">
                  <c:v>45768</c:v>
                </c:pt>
                <c:pt idx="1022">
                  <c:v>45769</c:v>
                </c:pt>
                <c:pt idx="1023">
                  <c:v>45770</c:v>
                </c:pt>
                <c:pt idx="1024">
                  <c:v>45771</c:v>
                </c:pt>
                <c:pt idx="1025">
                  <c:v>45772</c:v>
                </c:pt>
                <c:pt idx="1026">
                  <c:v>45775</c:v>
                </c:pt>
                <c:pt idx="1027">
                  <c:v>45776</c:v>
                </c:pt>
                <c:pt idx="1028">
                  <c:v>45777</c:v>
                </c:pt>
                <c:pt idx="1029">
                  <c:v>45779</c:v>
                </c:pt>
                <c:pt idx="1030">
                  <c:v>45782</c:v>
                </c:pt>
                <c:pt idx="1031">
                  <c:v>45783</c:v>
                </c:pt>
                <c:pt idx="1032">
                  <c:v>45784</c:v>
                </c:pt>
                <c:pt idx="1033">
                  <c:v>45785</c:v>
                </c:pt>
                <c:pt idx="1034">
                  <c:v>45786</c:v>
                </c:pt>
                <c:pt idx="1035">
                  <c:v>45789</c:v>
                </c:pt>
                <c:pt idx="1036">
                  <c:v>45790</c:v>
                </c:pt>
                <c:pt idx="1037">
                  <c:v>45791</c:v>
                </c:pt>
                <c:pt idx="1038">
                  <c:v>45792</c:v>
                </c:pt>
                <c:pt idx="1039">
                  <c:v>45793</c:v>
                </c:pt>
                <c:pt idx="1040">
                  <c:v>45796</c:v>
                </c:pt>
                <c:pt idx="1041">
                  <c:v>45797</c:v>
                </c:pt>
                <c:pt idx="1042">
                  <c:v>45798</c:v>
                </c:pt>
                <c:pt idx="1043">
                  <c:v>45799</c:v>
                </c:pt>
                <c:pt idx="1044">
                  <c:v>45800</c:v>
                </c:pt>
                <c:pt idx="1045">
                  <c:v>45803</c:v>
                </c:pt>
                <c:pt idx="1046">
                  <c:v>45804</c:v>
                </c:pt>
                <c:pt idx="1047">
                  <c:v>45805</c:v>
                </c:pt>
                <c:pt idx="1048">
                  <c:v>45806</c:v>
                </c:pt>
                <c:pt idx="1049">
                  <c:v>45807</c:v>
                </c:pt>
                <c:pt idx="1050">
                  <c:v>45810</c:v>
                </c:pt>
                <c:pt idx="1051">
                  <c:v>45811</c:v>
                </c:pt>
                <c:pt idx="1052">
                  <c:v>45812</c:v>
                </c:pt>
                <c:pt idx="1053">
                  <c:v>45813</c:v>
                </c:pt>
                <c:pt idx="1054">
                  <c:v>45814</c:v>
                </c:pt>
                <c:pt idx="1055">
                  <c:v>45817</c:v>
                </c:pt>
                <c:pt idx="1056">
                  <c:v>45818</c:v>
                </c:pt>
                <c:pt idx="1057">
                  <c:v>45819</c:v>
                </c:pt>
                <c:pt idx="1058">
                  <c:v>45820</c:v>
                </c:pt>
                <c:pt idx="1059">
                  <c:v>45821</c:v>
                </c:pt>
                <c:pt idx="1060">
                  <c:v>45824</c:v>
                </c:pt>
                <c:pt idx="1061">
                  <c:v>45825</c:v>
                </c:pt>
                <c:pt idx="1062">
                  <c:v>45826</c:v>
                </c:pt>
                <c:pt idx="1063">
                  <c:v>45827</c:v>
                </c:pt>
                <c:pt idx="1064">
                  <c:v>45828</c:v>
                </c:pt>
                <c:pt idx="1065">
                  <c:v>45831</c:v>
                </c:pt>
                <c:pt idx="1066">
                  <c:v>45832</c:v>
                </c:pt>
                <c:pt idx="1067">
                  <c:v>45833</c:v>
                </c:pt>
                <c:pt idx="1068">
                  <c:v>45834</c:v>
                </c:pt>
                <c:pt idx="1069">
                  <c:v>45835</c:v>
                </c:pt>
                <c:pt idx="1070">
                  <c:v>45838</c:v>
                </c:pt>
                <c:pt idx="1071">
                  <c:v>45839</c:v>
                </c:pt>
                <c:pt idx="1072">
                  <c:v>45840</c:v>
                </c:pt>
                <c:pt idx="1073">
                  <c:v>45841</c:v>
                </c:pt>
                <c:pt idx="1074">
                  <c:v>45842</c:v>
                </c:pt>
                <c:pt idx="1075">
                  <c:v>45845</c:v>
                </c:pt>
                <c:pt idx="1076">
                  <c:v>45846</c:v>
                </c:pt>
                <c:pt idx="1077">
                  <c:v>45847</c:v>
                </c:pt>
                <c:pt idx="1078">
                  <c:v>45848</c:v>
                </c:pt>
                <c:pt idx="1079">
                  <c:v>45849</c:v>
                </c:pt>
                <c:pt idx="1080">
                  <c:v>45852</c:v>
                </c:pt>
                <c:pt idx="1081">
                  <c:v>45853</c:v>
                </c:pt>
                <c:pt idx="1082">
                  <c:v>45854</c:v>
                </c:pt>
                <c:pt idx="1083">
                  <c:v>45855</c:v>
                </c:pt>
                <c:pt idx="1084">
                  <c:v>45856</c:v>
                </c:pt>
                <c:pt idx="1085">
                  <c:v>45859</c:v>
                </c:pt>
                <c:pt idx="1086">
                  <c:v>45860</c:v>
                </c:pt>
                <c:pt idx="1087">
                  <c:v>45861</c:v>
                </c:pt>
                <c:pt idx="1088">
                  <c:v>45862</c:v>
                </c:pt>
                <c:pt idx="1089">
                  <c:v>45863</c:v>
                </c:pt>
                <c:pt idx="1090">
                  <c:v>45866</c:v>
                </c:pt>
                <c:pt idx="1091">
                  <c:v>45867</c:v>
                </c:pt>
                <c:pt idx="1092">
                  <c:v>45868</c:v>
                </c:pt>
                <c:pt idx="1093">
                  <c:v>45869</c:v>
                </c:pt>
                <c:pt idx="1094">
                  <c:v>45870</c:v>
                </c:pt>
                <c:pt idx="1095">
                  <c:v>45873</c:v>
                </c:pt>
                <c:pt idx="1096">
                  <c:v>45874</c:v>
                </c:pt>
                <c:pt idx="1097">
                  <c:v>45875</c:v>
                </c:pt>
                <c:pt idx="1098">
                  <c:v>45876</c:v>
                </c:pt>
                <c:pt idx="1099">
                  <c:v>45877</c:v>
                </c:pt>
                <c:pt idx="1100">
                  <c:v>45880</c:v>
                </c:pt>
                <c:pt idx="1101">
                  <c:v>45881</c:v>
                </c:pt>
                <c:pt idx="1102">
                  <c:v>45882</c:v>
                </c:pt>
                <c:pt idx="1103">
                  <c:v>45883</c:v>
                </c:pt>
                <c:pt idx="1104">
                  <c:v>45887</c:v>
                </c:pt>
                <c:pt idx="1105">
                  <c:v>45888</c:v>
                </c:pt>
                <c:pt idx="1106">
                  <c:v>45889</c:v>
                </c:pt>
                <c:pt idx="1107">
                  <c:v>45890</c:v>
                </c:pt>
                <c:pt idx="1108">
                  <c:v>45891</c:v>
                </c:pt>
                <c:pt idx="1109">
                  <c:v>45894</c:v>
                </c:pt>
                <c:pt idx="1110">
                  <c:v>45895</c:v>
                </c:pt>
                <c:pt idx="1111">
                  <c:v>45897</c:v>
                </c:pt>
                <c:pt idx="1112">
                  <c:v>45898</c:v>
                </c:pt>
                <c:pt idx="1113">
                  <c:v>45901</c:v>
                </c:pt>
                <c:pt idx="1114">
                  <c:v>45902</c:v>
                </c:pt>
                <c:pt idx="1115">
                  <c:v>45903</c:v>
                </c:pt>
                <c:pt idx="1116">
                  <c:v>45904</c:v>
                </c:pt>
                <c:pt idx="1117">
                  <c:v>45905</c:v>
                </c:pt>
                <c:pt idx="1118">
                  <c:v>45908</c:v>
                </c:pt>
                <c:pt idx="1119">
                  <c:v>45909</c:v>
                </c:pt>
                <c:pt idx="1120">
                  <c:v>45910</c:v>
                </c:pt>
                <c:pt idx="1121">
                  <c:v>45911</c:v>
                </c:pt>
                <c:pt idx="1122">
                  <c:v>45912</c:v>
                </c:pt>
                <c:pt idx="1123">
                  <c:v>45915</c:v>
                </c:pt>
                <c:pt idx="1124">
                  <c:v>45916</c:v>
                </c:pt>
                <c:pt idx="1125">
                  <c:v>45917</c:v>
                </c:pt>
                <c:pt idx="1126">
                  <c:v>45918</c:v>
                </c:pt>
                <c:pt idx="1127">
                  <c:v>45919</c:v>
                </c:pt>
                <c:pt idx="1128">
                  <c:v>45922</c:v>
                </c:pt>
                <c:pt idx="1129">
                  <c:v>45923</c:v>
                </c:pt>
                <c:pt idx="1130">
                  <c:v>45924</c:v>
                </c:pt>
                <c:pt idx="1131">
                  <c:v>45925</c:v>
                </c:pt>
                <c:pt idx="1132">
                  <c:v>45926</c:v>
                </c:pt>
                <c:pt idx="1133">
                  <c:v>45929</c:v>
                </c:pt>
                <c:pt idx="1134">
                  <c:v>45930</c:v>
                </c:pt>
                <c:pt idx="1135">
                  <c:v>45931</c:v>
                </c:pt>
                <c:pt idx="1136">
                  <c:v>45933</c:v>
                </c:pt>
                <c:pt idx="1137">
                  <c:v>45936</c:v>
                </c:pt>
                <c:pt idx="1138">
                  <c:v>45937</c:v>
                </c:pt>
                <c:pt idx="1139">
                  <c:v>45938</c:v>
                </c:pt>
                <c:pt idx="1140">
                  <c:v>45939</c:v>
                </c:pt>
                <c:pt idx="1141">
                  <c:v>45940</c:v>
                </c:pt>
                <c:pt idx="1142">
                  <c:v>45943</c:v>
                </c:pt>
                <c:pt idx="1143">
                  <c:v>45944</c:v>
                </c:pt>
                <c:pt idx="1144">
                  <c:v>45945</c:v>
                </c:pt>
                <c:pt idx="1145">
                  <c:v>45946</c:v>
                </c:pt>
                <c:pt idx="1146">
                  <c:v>45947</c:v>
                </c:pt>
                <c:pt idx="1147">
                  <c:v>45950</c:v>
                </c:pt>
                <c:pt idx="1148">
                  <c:v>45951</c:v>
                </c:pt>
                <c:pt idx="1149">
                  <c:v>45953</c:v>
                </c:pt>
                <c:pt idx="1150">
                  <c:v>45954</c:v>
                </c:pt>
                <c:pt idx="1151">
                  <c:v>45957</c:v>
                </c:pt>
                <c:pt idx="1152">
                  <c:v>45958</c:v>
                </c:pt>
                <c:pt idx="1153">
                  <c:v>45959</c:v>
                </c:pt>
                <c:pt idx="1154">
                  <c:v>45960</c:v>
                </c:pt>
                <c:pt idx="1155">
                  <c:v>45961</c:v>
                </c:pt>
                <c:pt idx="1156">
                  <c:v>45964</c:v>
                </c:pt>
                <c:pt idx="1157">
                  <c:v>45965</c:v>
                </c:pt>
                <c:pt idx="1158">
                  <c:v>45967</c:v>
                </c:pt>
                <c:pt idx="1159">
                  <c:v>45968</c:v>
                </c:pt>
                <c:pt idx="1160">
                  <c:v>45971</c:v>
                </c:pt>
                <c:pt idx="1161">
                  <c:v>45972</c:v>
                </c:pt>
                <c:pt idx="1162">
                  <c:v>45973</c:v>
                </c:pt>
                <c:pt idx="1163">
                  <c:v>45974</c:v>
                </c:pt>
                <c:pt idx="1164">
                  <c:v>45975</c:v>
                </c:pt>
                <c:pt idx="1165">
                  <c:v>45978</c:v>
                </c:pt>
                <c:pt idx="1166">
                  <c:v>45979</c:v>
                </c:pt>
                <c:pt idx="1167">
                  <c:v>45980</c:v>
                </c:pt>
                <c:pt idx="1168">
                  <c:v>45981</c:v>
                </c:pt>
                <c:pt idx="1169">
                  <c:v>45982</c:v>
                </c:pt>
                <c:pt idx="1170">
                  <c:v>45985</c:v>
                </c:pt>
                <c:pt idx="1171">
                  <c:v>45986</c:v>
                </c:pt>
                <c:pt idx="1172">
                  <c:v>45987</c:v>
                </c:pt>
                <c:pt idx="1173">
                  <c:v>45988</c:v>
                </c:pt>
                <c:pt idx="1174">
                  <c:v>45989</c:v>
                </c:pt>
                <c:pt idx="1175">
                  <c:v>45992</c:v>
                </c:pt>
                <c:pt idx="1176">
                  <c:v>45993</c:v>
                </c:pt>
                <c:pt idx="1177">
                  <c:v>45994</c:v>
                </c:pt>
                <c:pt idx="1178">
                  <c:v>45995</c:v>
                </c:pt>
                <c:pt idx="1179">
                  <c:v>45996</c:v>
                </c:pt>
                <c:pt idx="1180">
                  <c:v>45999</c:v>
                </c:pt>
                <c:pt idx="1181">
                  <c:v>46000</c:v>
                </c:pt>
                <c:pt idx="1182">
                  <c:v>46001</c:v>
                </c:pt>
                <c:pt idx="1183">
                  <c:v>46002</c:v>
                </c:pt>
                <c:pt idx="1184">
                  <c:v>46003</c:v>
                </c:pt>
                <c:pt idx="1185">
                  <c:v>46006</c:v>
                </c:pt>
                <c:pt idx="1186">
                  <c:v>46007</c:v>
                </c:pt>
                <c:pt idx="1187">
                  <c:v>46008</c:v>
                </c:pt>
                <c:pt idx="1188">
                  <c:v>46009</c:v>
                </c:pt>
                <c:pt idx="1189">
                  <c:v>46010</c:v>
                </c:pt>
                <c:pt idx="1190">
                  <c:v>46013</c:v>
                </c:pt>
                <c:pt idx="1191">
                  <c:v>46014</c:v>
                </c:pt>
                <c:pt idx="1192">
                  <c:v>46015</c:v>
                </c:pt>
                <c:pt idx="1193">
                  <c:v>46017</c:v>
                </c:pt>
                <c:pt idx="1194">
                  <c:v>46020</c:v>
                </c:pt>
                <c:pt idx="1195">
                  <c:v>46021</c:v>
                </c:pt>
                <c:pt idx="1196">
                  <c:v>46022</c:v>
                </c:pt>
                <c:pt idx="1197">
                  <c:v>46023</c:v>
                </c:pt>
                <c:pt idx="1198">
                  <c:v>46024</c:v>
                </c:pt>
                <c:pt idx="1199">
                  <c:v>46027</c:v>
                </c:pt>
                <c:pt idx="1200">
                  <c:v>46028</c:v>
                </c:pt>
                <c:pt idx="1201">
                  <c:v>46029</c:v>
                </c:pt>
                <c:pt idx="1202">
                  <c:v>46030</c:v>
                </c:pt>
                <c:pt idx="1203">
                  <c:v>46031</c:v>
                </c:pt>
                <c:pt idx="1204">
                  <c:v>46034</c:v>
                </c:pt>
                <c:pt idx="1205">
                  <c:v>46035</c:v>
                </c:pt>
                <c:pt idx="1206">
                  <c:v>46036</c:v>
                </c:pt>
                <c:pt idx="1207">
                  <c:v>46038</c:v>
                </c:pt>
                <c:pt idx="1208">
                  <c:v>46041</c:v>
                </c:pt>
                <c:pt idx="1209">
                  <c:v>46042</c:v>
                </c:pt>
                <c:pt idx="1210">
                  <c:v>46043</c:v>
                </c:pt>
                <c:pt idx="1211">
                  <c:v>46044</c:v>
                </c:pt>
                <c:pt idx="1212">
                  <c:v>46045</c:v>
                </c:pt>
                <c:pt idx="1213">
                  <c:v>46049</c:v>
                </c:pt>
                <c:pt idx="1214">
                  <c:v>46050</c:v>
                </c:pt>
                <c:pt idx="1215">
                  <c:v>46051</c:v>
                </c:pt>
                <c:pt idx="1216">
                  <c:v>46052</c:v>
                </c:pt>
                <c:pt idx="1217">
                  <c:v>46054</c:v>
                </c:pt>
                <c:pt idx="1218">
                  <c:v>46055</c:v>
                </c:pt>
                <c:pt idx="1219">
                  <c:v>46056</c:v>
                </c:pt>
                <c:pt idx="1220">
                  <c:v>46057</c:v>
                </c:pt>
                <c:pt idx="1221">
                  <c:v>46058</c:v>
                </c:pt>
                <c:pt idx="1222">
                  <c:v>46059</c:v>
                </c:pt>
                <c:pt idx="1223">
                  <c:v>46062</c:v>
                </c:pt>
                <c:pt idx="1224">
                  <c:v>46063</c:v>
                </c:pt>
                <c:pt idx="1225">
                  <c:v>46064</c:v>
                </c:pt>
                <c:pt idx="1226">
                  <c:v>46065</c:v>
                </c:pt>
                <c:pt idx="1227">
                  <c:v>46066</c:v>
                </c:pt>
                <c:pt idx="1228">
                  <c:v>46069</c:v>
                </c:pt>
                <c:pt idx="1229">
                  <c:v>46070</c:v>
                </c:pt>
                <c:pt idx="1230">
                  <c:v>46071</c:v>
                </c:pt>
                <c:pt idx="1231">
                  <c:v>46072</c:v>
                </c:pt>
                <c:pt idx="1232">
                  <c:v>46073</c:v>
                </c:pt>
                <c:pt idx="1233">
                  <c:v>46076</c:v>
                </c:pt>
                <c:pt idx="1234">
                  <c:v>46077</c:v>
                </c:pt>
                <c:pt idx="1235">
                  <c:v>46078</c:v>
                </c:pt>
                <c:pt idx="1236">
                  <c:v>46079</c:v>
                </c:pt>
                <c:pt idx="1237">
                  <c:v>46080</c:v>
                </c:pt>
                <c:pt idx="1238">
                  <c:v>46083</c:v>
                </c:pt>
                <c:pt idx="1239">
                  <c:v>46085</c:v>
                </c:pt>
              </c:numCache>
            </c:numRef>
          </c:cat>
          <c:val>
            <c:numRef>
              <c:f>'Raw Data'!$O$3:$O$1242</c:f>
              <c:numCache>
                <c:formatCode>#,##0.00</c:formatCode>
                <c:ptCount val="1240"/>
                <c:pt idx="0">
                  <c:v>2196.9</c:v>
                </c:pt>
                <c:pt idx="1">
                  <c:v>2201.1</c:v>
                </c:pt>
                <c:pt idx="2">
                  <c:v>2174.5500000000002</c:v>
                </c:pt>
                <c:pt idx="3">
                  <c:v>2198.5</c:v>
                </c:pt>
                <c:pt idx="4">
                  <c:v>2227.85</c:v>
                </c:pt>
                <c:pt idx="5">
                  <c:v>2204.75</c:v>
                </c:pt>
                <c:pt idx="6">
                  <c:v>2210.85</c:v>
                </c:pt>
                <c:pt idx="7">
                  <c:v>2244.0500000000002</c:v>
                </c:pt>
                <c:pt idx="8">
                  <c:v>2226.3000000000002</c:v>
                </c:pt>
                <c:pt idx="9">
                  <c:v>2215.1999999999998</c:v>
                </c:pt>
                <c:pt idx="10">
                  <c:v>2312.0500000000002</c:v>
                </c:pt>
                <c:pt idx="11">
                  <c:v>2353.1999999999998</c:v>
                </c:pt>
                <c:pt idx="12">
                  <c:v>2337.3000000000002</c:v>
                </c:pt>
                <c:pt idx="13">
                  <c:v>2318.6</c:v>
                </c:pt>
                <c:pt idx="14">
                  <c:v>2237.0500000000002</c:v>
                </c:pt>
                <c:pt idx="15">
                  <c:v>2317.9</c:v>
                </c:pt>
                <c:pt idx="16">
                  <c:v>2398.75</c:v>
                </c:pt>
                <c:pt idx="17">
                  <c:v>2431.5</c:v>
                </c:pt>
                <c:pt idx="18">
                  <c:v>2399.1</c:v>
                </c:pt>
                <c:pt idx="19">
                  <c:v>2373.1999999999998</c:v>
                </c:pt>
                <c:pt idx="20">
                  <c:v>2408.3000000000002</c:v>
                </c:pt>
                <c:pt idx="21">
                  <c:v>2405.25</c:v>
                </c:pt>
                <c:pt idx="22">
                  <c:v>2409.9</c:v>
                </c:pt>
                <c:pt idx="23">
                  <c:v>2476</c:v>
                </c:pt>
                <c:pt idx="24">
                  <c:v>2462</c:v>
                </c:pt>
                <c:pt idx="25">
                  <c:v>2454.4</c:v>
                </c:pt>
                <c:pt idx="26">
                  <c:v>2460.65</c:v>
                </c:pt>
                <c:pt idx="27">
                  <c:v>2458.9</c:v>
                </c:pt>
                <c:pt idx="28">
                  <c:v>2436.65</c:v>
                </c:pt>
                <c:pt idx="29">
                  <c:v>2397.4499999999998</c:v>
                </c:pt>
                <c:pt idx="30">
                  <c:v>2349.4</c:v>
                </c:pt>
                <c:pt idx="31">
                  <c:v>2307.75</c:v>
                </c:pt>
                <c:pt idx="32">
                  <c:v>2360.65</c:v>
                </c:pt>
                <c:pt idx="33">
                  <c:v>2379.85</c:v>
                </c:pt>
                <c:pt idx="34">
                  <c:v>2406.5500000000002</c:v>
                </c:pt>
                <c:pt idx="35">
                  <c:v>2407.6</c:v>
                </c:pt>
                <c:pt idx="36">
                  <c:v>2353.75</c:v>
                </c:pt>
                <c:pt idx="37">
                  <c:v>2408</c:v>
                </c:pt>
                <c:pt idx="38">
                  <c:v>2407.65</c:v>
                </c:pt>
                <c:pt idx="39">
                  <c:v>2394.65</c:v>
                </c:pt>
                <c:pt idx="40">
                  <c:v>2390</c:v>
                </c:pt>
                <c:pt idx="41">
                  <c:v>2411.1999999999998</c:v>
                </c:pt>
                <c:pt idx="42">
                  <c:v>2432.9</c:v>
                </c:pt>
                <c:pt idx="43">
                  <c:v>2402.1</c:v>
                </c:pt>
                <c:pt idx="44">
                  <c:v>2328.9499999999998</c:v>
                </c:pt>
                <c:pt idx="45">
                  <c:v>2376.85</c:v>
                </c:pt>
                <c:pt idx="46">
                  <c:v>2376.25</c:v>
                </c:pt>
                <c:pt idx="47">
                  <c:v>2374.25</c:v>
                </c:pt>
                <c:pt idx="48">
                  <c:v>2359.75</c:v>
                </c:pt>
                <c:pt idx="49">
                  <c:v>2344.15</c:v>
                </c:pt>
                <c:pt idx="50">
                  <c:v>2362.25</c:v>
                </c:pt>
                <c:pt idx="51">
                  <c:v>2336.5500000000002</c:v>
                </c:pt>
                <c:pt idx="52">
                  <c:v>2344.0500000000002</c:v>
                </c:pt>
                <c:pt idx="53">
                  <c:v>2354</c:v>
                </c:pt>
                <c:pt idx="54">
                  <c:v>2326.4</c:v>
                </c:pt>
                <c:pt idx="55">
                  <c:v>2321.6999999999998</c:v>
                </c:pt>
                <c:pt idx="56">
                  <c:v>2340.0500000000002</c:v>
                </c:pt>
                <c:pt idx="57">
                  <c:v>2358.3000000000002</c:v>
                </c:pt>
                <c:pt idx="58">
                  <c:v>2358.8000000000002</c:v>
                </c:pt>
                <c:pt idx="59">
                  <c:v>2363.25</c:v>
                </c:pt>
                <c:pt idx="60">
                  <c:v>2342.0500000000002</c:v>
                </c:pt>
                <c:pt idx="61">
                  <c:v>2339.3000000000002</c:v>
                </c:pt>
                <c:pt idx="62">
                  <c:v>2359</c:v>
                </c:pt>
                <c:pt idx="63">
                  <c:v>2356</c:v>
                </c:pt>
                <c:pt idx="64">
                  <c:v>2378.8000000000002</c:v>
                </c:pt>
                <c:pt idx="65">
                  <c:v>2366.5</c:v>
                </c:pt>
                <c:pt idx="66">
                  <c:v>2364.6</c:v>
                </c:pt>
                <c:pt idx="67">
                  <c:v>2391.9499999999998</c:v>
                </c:pt>
                <c:pt idx="68">
                  <c:v>2407.9</c:v>
                </c:pt>
                <c:pt idx="69">
                  <c:v>2417.6999999999998</c:v>
                </c:pt>
                <c:pt idx="70">
                  <c:v>2482.9</c:v>
                </c:pt>
                <c:pt idx="71">
                  <c:v>2514.35</c:v>
                </c:pt>
                <c:pt idx="72">
                  <c:v>2490.25</c:v>
                </c:pt>
                <c:pt idx="73">
                  <c:v>2480.5</c:v>
                </c:pt>
                <c:pt idx="74">
                  <c:v>2490.15</c:v>
                </c:pt>
                <c:pt idx="75">
                  <c:v>2448.65</c:v>
                </c:pt>
                <c:pt idx="76">
                  <c:v>2460.1999999999998</c:v>
                </c:pt>
                <c:pt idx="77">
                  <c:v>2492.5500000000002</c:v>
                </c:pt>
                <c:pt idx="78">
                  <c:v>2471.3000000000002</c:v>
                </c:pt>
                <c:pt idx="79">
                  <c:v>2478</c:v>
                </c:pt>
                <c:pt idx="80">
                  <c:v>2487.3000000000002</c:v>
                </c:pt>
                <c:pt idx="81">
                  <c:v>2499.0500000000002</c:v>
                </c:pt>
                <c:pt idx="82">
                  <c:v>2472.5</c:v>
                </c:pt>
                <c:pt idx="83">
                  <c:v>2481.65</c:v>
                </c:pt>
                <c:pt idx="84">
                  <c:v>2447.5500000000002</c:v>
                </c:pt>
                <c:pt idx="85">
                  <c:v>2451.4499999999998</c:v>
                </c:pt>
                <c:pt idx="86">
                  <c:v>2444.15</c:v>
                </c:pt>
                <c:pt idx="87">
                  <c:v>2436.6999999999998</c:v>
                </c:pt>
                <c:pt idx="88">
                  <c:v>2414.85</c:v>
                </c:pt>
                <c:pt idx="89">
                  <c:v>2412.35</c:v>
                </c:pt>
                <c:pt idx="90">
                  <c:v>2417.4</c:v>
                </c:pt>
                <c:pt idx="91">
                  <c:v>2408.65</c:v>
                </c:pt>
                <c:pt idx="92">
                  <c:v>2434.9</c:v>
                </c:pt>
                <c:pt idx="93">
                  <c:v>2378.15</c:v>
                </c:pt>
                <c:pt idx="94">
                  <c:v>2358.1</c:v>
                </c:pt>
                <c:pt idx="95">
                  <c:v>2348.6999999999998</c:v>
                </c:pt>
                <c:pt idx="96">
                  <c:v>2342.4</c:v>
                </c:pt>
                <c:pt idx="97">
                  <c:v>2361.4</c:v>
                </c:pt>
                <c:pt idx="98">
                  <c:v>2334.75</c:v>
                </c:pt>
                <c:pt idx="99">
                  <c:v>2333.3000000000002</c:v>
                </c:pt>
                <c:pt idx="100">
                  <c:v>2332.8000000000002</c:v>
                </c:pt>
                <c:pt idx="101">
                  <c:v>2386.85</c:v>
                </c:pt>
                <c:pt idx="102">
                  <c:v>2377.1</c:v>
                </c:pt>
                <c:pt idx="103">
                  <c:v>2357.6999999999998</c:v>
                </c:pt>
                <c:pt idx="104">
                  <c:v>2371.5</c:v>
                </c:pt>
                <c:pt idx="105">
                  <c:v>2384.5</c:v>
                </c:pt>
                <c:pt idx="106">
                  <c:v>2381.8000000000002</c:v>
                </c:pt>
                <c:pt idx="107">
                  <c:v>2390.4499999999998</c:v>
                </c:pt>
                <c:pt idx="108">
                  <c:v>2392.3000000000002</c:v>
                </c:pt>
                <c:pt idx="109">
                  <c:v>2404.5</c:v>
                </c:pt>
                <c:pt idx="110">
                  <c:v>2426.4</c:v>
                </c:pt>
                <c:pt idx="111">
                  <c:v>2483.8000000000002</c:v>
                </c:pt>
                <c:pt idx="112">
                  <c:v>2486.0500000000002</c:v>
                </c:pt>
                <c:pt idx="113">
                  <c:v>2619.4</c:v>
                </c:pt>
                <c:pt idx="114">
                  <c:v>2634.15</c:v>
                </c:pt>
                <c:pt idx="115">
                  <c:v>2633</c:v>
                </c:pt>
                <c:pt idx="116">
                  <c:v>2645</c:v>
                </c:pt>
                <c:pt idx="117">
                  <c:v>2666.4</c:v>
                </c:pt>
                <c:pt idx="118">
                  <c:v>2677.95</c:v>
                </c:pt>
                <c:pt idx="119">
                  <c:v>2687.7</c:v>
                </c:pt>
                <c:pt idx="120">
                  <c:v>2724.1</c:v>
                </c:pt>
                <c:pt idx="121">
                  <c:v>2732.9</c:v>
                </c:pt>
                <c:pt idx="122">
                  <c:v>2801.05</c:v>
                </c:pt>
                <c:pt idx="123">
                  <c:v>2766.7</c:v>
                </c:pt>
                <c:pt idx="124">
                  <c:v>2780.6</c:v>
                </c:pt>
                <c:pt idx="125">
                  <c:v>2777.7</c:v>
                </c:pt>
                <c:pt idx="126">
                  <c:v>2800.9</c:v>
                </c:pt>
                <c:pt idx="127">
                  <c:v>2810.65</c:v>
                </c:pt>
                <c:pt idx="128">
                  <c:v>2786.35</c:v>
                </c:pt>
                <c:pt idx="129">
                  <c:v>2762.55</c:v>
                </c:pt>
                <c:pt idx="130">
                  <c:v>2775.45</c:v>
                </c:pt>
                <c:pt idx="131">
                  <c:v>2768.25</c:v>
                </c:pt>
                <c:pt idx="132">
                  <c:v>2722.25</c:v>
                </c:pt>
                <c:pt idx="133">
                  <c:v>2800.35</c:v>
                </c:pt>
                <c:pt idx="134">
                  <c:v>2812.45</c:v>
                </c:pt>
                <c:pt idx="135">
                  <c:v>2784.5</c:v>
                </c:pt>
                <c:pt idx="136">
                  <c:v>2782.3</c:v>
                </c:pt>
                <c:pt idx="137">
                  <c:v>2746.65</c:v>
                </c:pt>
                <c:pt idx="138">
                  <c:v>2709.5</c:v>
                </c:pt>
                <c:pt idx="139">
                  <c:v>2723.85</c:v>
                </c:pt>
                <c:pt idx="140">
                  <c:v>2685.3</c:v>
                </c:pt>
                <c:pt idx="141">
                  <c:v>2701.8</c:v>
                </c:pt>
                <c:pt idx="142">
                  <c:v>2704.05</c:v>
                </c:pt>
                <c:pt idx="143">
                  <c:v>2686.2</c:v>
                </c:pt>
                <c:pt idx="144">
                  <c:v>2708.65</c:v>
                </c:pt>
                <c:pt idx="145">
                  <c:v>2686.05</c:v>
                </c:pt>
                <c:pt idx="146">
                  <c:v>2669.4</c:v>
                </c:pt>
                <c:pt idx="147">
                  <c:v>2640.05</c:v>
                </c:pt>
                <c:pt idx="148">
                  <c:v>2645.1</c:v>
                </c:pt>
                <c:pt idx="149">
                  <c:v>2676.15</c:v>
                </c:pt>
                <c:pt idx="150">
                  <c:v>2646.75</c:v>
                </c:pt>
                <c:pt idx="151">
                  <c:v>2649.55</c:v>
                </c:pt>
                <c:pt idx="152">
                  <c:v>2654</c:v>
                </c:pt>
                <c:pt idx="153">
                  <c:v>2546.8000000000002</c:v>
                </c:pt>
                <c:pt idx="154">
                  <c:v>2478.65</c:v>
                </c:pt>
                <c:pt idx="155">
                  <c:v>2445.75</c:v>
                </c:pt>
                <c:pt idx="156">
                  <c:v>2454.1</c:v>
                </c:pt>
                <c:pt idx="157">
                  <c:v>2455.85</c:v>
                </c:pt>
                <c:pt idx="158">
                  <c:v>2436.85</c:v>
                </c:pt>
                <c:pt idx="159">
                  <c:v>2396.6</c:v>
                </c:pt>
                <c:pt idx="160">
                  <c:v>2389.65</c:v>
                </c:pt>
                <c:pt idx="161">
                  <c:v>2393.15</c:v>
                </c:pt>
                <c:pt idx="162">
                  <c:v>2407.1</c:v>
                </c:pt>
                <c:pt idx="163">
                  <c:v>2418.9</c:v>
                </c:pt>
                <c:pt idx="164">
                  <c:v>2411.35</c:v>
                </c:pt>
                <c:pt idx="165">
                  <c:v>2422.85</c:v>
                </c:pt>
                <c:pt idx="166">
                  <c:v>2431.9</c:v>
                </c:pt>
                <c:pt idx="167">
                  <c:v>2431.15</c:v>
                </c:pt>
                <c:pt idx="168">
                  <c:v>2400.15</c:v>
                </c:pt>
                <c:pt idx="169">
                  <c:v>2376.1999999999998</c:v>
                </c:pt>
                <c:pt idx="170">
                  <c:v>2404.9499999999998</c:v>
                </c:pt>
                <c:pt idx="171">
                  <c:v>2424.75</c:v>
                </c:pt>
                <c:pt idx="172">
                  <c:v>2406.65</c:v>
                </c:pt>
                <c:pt idx="173">
                  <c:v>2391.15</c:v>
                </c:pt>
                <c:pt idx="174">
                  <c:v>2399.4</c:v>
                </c:pt>
                <c:pt idx="175">
                  <c:v>2388.5500000000002</c:v>
                </c:pt>
                <c:pt idx="176">
                  <c:v>2394.1999999999998</c:v>
                </c:pt>
                <c:pt idx="177">
                  <c:v>2374.75</c:v>
                </c:pt>
                <c:pt idx="178">
                  <c:v>2349.0500000000002</c:v>
                </c:pt>
                <c:pt idx="179">
                  <c:v>2335.1</c:v>
                </c:pt>
                <c:pt idx="180">
                  <c:v>2329.4</c:v>
                </c:pt>
                <c:pt idx="181">
                  <c:v>2317.5500000000002</c:v>
                </c:pt>
                <c:pt idx="182">
                  <c:v>2344.85</c:v>
                </c:pt>
                <c:pt idx="183">
                  <c:v>2383.3000000000002</c:v>
                </c:pt>
                <c:pt idx="184">
                  <c:v>2343.65</c:v>
                </c:pt>
                <c:pt idx="185">
                  <c:v>2306.5</c:v>
                </c:pt>
                <c:pt idx="186">
                  <c:v>2321.6</c:v>
                </c:pt>
                <c:pt idx="187">
                  <c:v>2340.6</c:v>
                </c:pt>
                <c:pt idx="188">
                  <c:v>2339.75</c:v>
                </c:pt>
                <c:pt idx="189">
                  <c:v>2332.8000000000002</c:v>
                </c:pt>
                <c:pt idx="190">
                  <c:v>2304.35</c:v>
                </c:pt>
                <c:pt idx="191">
                  <c:v>2318.3000000000002</c:v>
                </c:pt>
                <c:pt idx="192">
                  <c:v>2320.9499999999998</c:v>
                </c:pt>
                <c:pt idx="193">
                  <c:v>2309.5</c:v>
                </c:pt>
                <c:pt idx="194">
                  <c:v>2230.25</c:v>
                </c:pt>
                <c:pt idx="195">
                  <c:v>2269.1</c:v>
                </c:pt>
                <c:pt idx="196">
                  <c:v>2272.85</c:v>
                </c:pt>
                <c:pt idx="197">
                  <c:v>2277.65</c:v>
                </c:pt>
                <c:pt idx="198">
                  <c:v>2300.65</c:v>
                </c:pt>
                <c:pt idx="199">
                  <c:v>2296.9499999999998</c:v>
                </c:pt>
                <c:pt idx="200">
                  <c:v>2301.4</c:v>
                </c:pt>
                <c:pt idx="201">
                  <c:v>2309.1</c:v>
                </c:pt>
                <c:pt idx="202">
                  <c:v>2306.85</c:v>
                </c:pt>
                <c:pt idx="203">
                  <c:v>2325.6</c:v>
                </c:pt>
                <c:pt idx="204">
                  <c:v>2360.15</c:v>
                </c:pt>
                <c:pt idx="205">
                  <c:v>2361.3000000000002</c:v>
                </c:pt>
                <c:pt idx="206">
                  <c:v>2401.25</c:v>
                </c:pt>
                <c:pt idx="207">
                  <c:v>2415.8000000000002</c:v>
                </c:pt>
                <c:pt idx="208">
                  <c:v>2391.4</c:v>
                </c:pt>
                <c:pt idx="209">
                  <c:v>2416.15</c:v>
                </c:pt>
                <c:pt idx="210">
                  <c:v>2407.0500000000002</c:v>
                </c:pt>
                <c:pt idx="211">
                  <c:v>2403.65</c:v>
                </c:pt>
                <c:pt idx="212">
                  <c:v>2413.15</c:v>
                </c:pt>
                <c:pt idx="213">
                  <c:v>2414.1999999999998</c:v>
                </c:pt>
                <c:pt idx="214">
                  <c:v>2363.6999999999998</c:v>
                </c:pt>
                <c:pt idx="215">
                  <c:v>2389.5500000000002</c:v>
                </c:pt>
                <c:pt idx="216">
                  <c:v>2369.5</c:v>
                </c:pt>
                <c:pt idx="217">
                  <c:v>2309.9</c:v>
                </c:pt>
                <c:pt idx="218">
                  <c:v>2261.8000000000002</c:v>
                </c:pt>
                <c:pt idx="219">
                  <c:v>2325.4</c:v>
                </c:pt>
                <c:pt idx="220">
                  <c:v>2284.6</c:v>
                </c:pt>
                <c:pt idx="221">
                  <c:v>2327.25</c:v>
                </c:pt>
                <c:pt idx="222">
                  <c:v>2295.35</c:v>
                </c:pt>
                <c:pt idx="223">
                  <c:v>2283.5500000000002</c:v>
                </c:pt>
                <c:pt idx="224">
                  <c:v>2273.75</c:v>
                </c:pt>
                <c:pt idx="225">
                  <c:v>2305.65</c:v>
                </c:pt>
                <c:pt idx="226">
                  <c:v>2327.9</c:v>
                </c:pt>
                <c:pt idx="227">
                  <c:v>2298.15</c:v>
                </c:pt>
                <c:pt idx="228">
                  <c:v>2306.6</c:v>
                </c:pt>
                <c:pt idx="229">
                  <c:v>2257.6</c:v>
                </c:pt>
                <c:pt idx="230">
                  <c:v>2264.35</c:v>
                </c:pt>
                <c:pt idx="231">
                  <c:v>2277.65</c:v>
                </c:pt>
                <c:pt idx="232">
                  <c:v>2283.15</c:v>
                </c:pt>
                <c:pt idx="233">
                  <c:v>2258</c:v>
                </c:pt>
                <c:pt idx="234">
                  <c:v>2228.5500000000002</c:v>
                </c:pt>
                <c:pt idx="235">
                  <c:v>2290.1</c:v>
                </c:pt>
                <c:pt idx="236">
                  <c:v>2286.5</c:v>
                </c:pt>
                <c:pt idx="237">
                  <c:v>2307.5500000000002</c:v>
                </c:pt>
                <c:pt idx="238">
                  <c:v>2312.5500000000002</c:v>
                </c:pt>
                <c:pt idx="239">
                  <c:v>2294.8000000000002</c:v>
                </c:pt>
                <c:pt idx="240">
                  <c:v>2269.9499999999998</c:v>
                </c:pt>
                <c:pt idx="241">
                  <c:v>2260.4</c:v>
                </c:pt>
                <c:pt idx="242">
                  <c:v>2171.4</c:v>
                </c:pt>
                <c:pt idx="243">
                  <c:v>2170.6999999999998</c:v>
                </c:pt>
                <c:pt idx="244">
                  <c:v>2172.1</c:v>
                </c:pt>
                <c:pt idx="245">
                  <c:v>2149.1</c:v>
                </c:pt>
                <c:pt idx="246">
                  <c:v>2091</c:v>
                </c:pt>
                <c:pt idx="247">
                  <c:v>2019.5</c:v>
                </c:pt>
                <c:pt idx="248">
                  <c:v>1943.95</c:v>
                </c:pt>
                <c:pt idx="249">
                  <c:v>1949</c:v>
                </c:pt>
                <c:pt idx="250">
                  <c:v>1997.9</c:v>
                </c:pt>
                <c:pt idx="251">
                  <c:v>2101.9499999999998</c:v>
                </c:pt>
                <c:pt idx="252">
                  <c:v>2094.4</c:v>
                </c:pt>
                <c:pt idx="253">
                  <c:v>2059.3000000000002</c:v>
                </c:pt>
                <c:pt idx="254">
                  <c:v>2038.2</c:v>
                </c:pt>
                <c:pt idx="255">
                  <c:v>2072.15</c:v>
                </c:pt>
                <c:pt idx="256">
                  <c:v>2102.0500000000002</c:v>
                </c:pt>
                <c:pt idx="257">
                  <c:v>2051.1999999999998</c:v>
                </c:pt>
                <c:pt idx="258">
                  <c:v>1993.5</c:v>
                </c:pt>
                <c:pt idx="259">
                  <c:v>1978.55</c:v>
                </c:pt>
                <c:pt idx="260">
                  <c:v>1965.9</c:v>
                </c:pt>
                <c:pt idx="261">
                  <c:v>1953</c:v>
                </c:pt>
                <c:pt idx="262">
                  <c:v>1975.1</c:v>
                </c:pt>
                <c:pt idx="263">
                  <c:v>1987.05</c:v>
                </c:pt>
                <c:pt idx="264">
                  <c:v>2015.9</c:v>
                </c:pt>
                <c:pt idx="265">
                  <c:v>2048.65</c:v>
                </c:pt>
                <c:pt idx="266">
                  <c:v>2078.15</c:v>
                </c:pt>
                <c:pt idx="267">
                  <c:v>2128.4499999999998</c:v>
                </c:pt>
                <c:pt idx="268">
                  <c:v>2139.8000000000002</c:v>
                </c:pt>
                <c:pt idx="269">
                  <c:v>2142.0500000000002</c:v>
                </c:pt>
                <c:pt idx="270">
                  <c:v>2164.8000000000002</c:v>
                </c:pt>
                <c:pt idx="271">
                  <c:v>2183.0500000000002</c:v>
                </c:pt>
                <c:pt idx="272">
                  <c:v>2163.0500000000002</c:v>
                </c:pt>
                <c:pt idx="273">
                  <c:v>2132.25</c:v>
                </c:pt>
                <c:pt idx="274">
                  <c:v>2152.15</c:v>
                </c:pt>
                <c:pt idx="275">
                  <c:v>2177.65</c:v>
                </c:pt>
                <c:pt idx="276">
                  <c:v>2113.0500000000002</c:v>
                </c:pt>
                <c:pt idx="277">
                  <c:v>2164.9499999999998</c:v>
                </c:pt>
                <c:pt idx="278">
                  <c:v>2197.9499999999998</c:v>
                </c:pt>
                <c:pt idx="279">
                  <c:v>2126.9499999999998</c:v>
                </c:pt>
                <c:pt idx="280">
                  <c:v>2100.75</c:v>
                </c:pt>
                <c:pt idx="281">
                  <c:v>2148.35</c:v>
                </c:pt>
                <c:pt idx="282">
                  <c:v>2145.1</c:v>
                </c:pt>
                <c:pt idx="283">
                  <c:v>2241.85</c:v>
                </c:pt>
                <c:pt idx="284">
                  <c:v>2234.85</c:v>
                </c:pt>
                <c:pt idx="285">
                  <c:v>2230.5</c:v>
                </c:pt>
                <c:pt idx="286">
                  <c:v>2171.5500000000002</c:v>
                </c:pt>
                <c:pt idx="287">
                  <c:v>2166.6</c:v>
                </c:pt>
                <c:pt idx="288">
                  <c:v>2149.1999999999998</c:v>
                </c:pt>
                <c:pt idx="289">
                  <c:v>2116.65</c:v>
                </c:pt>
                <c:pt idx="290">
                  <c:v>2180.4</c:v>
                </c:pt>
                <c:pt idx="291">
                  <c:v>2163.5</c:v>
                </c:pt>
                <c:pt idx="292">
                  <c:v>2138.8000000000002</c:v>
                </c:pt>
                <c:pt idx="293">
                  <c:v>2194.1</c:v>
                </c:pt>
                <c:pt idx="294">
                  <c:v>2217.25</c:v>
                </c:pt>
                <c:pt idx="295">
                  <c:v>2245</c:v>
                </c:pt>
                <c:pt idx="296">
                  <c:v>2291.4</c:v>
                </c:pt>
                <c:pt idx="297">
                  <c:v>2264.5500000000002</c:v>
                </c:pt>
                <c:pt idx="298">
                  <c:v>2325.9499999999998</c:v>
                </c:pt>
                <c:pt idx="299">
                  <c:v>2379.8000000000002</c:v>
                </c:pt>
                <c:pt idx="300">
                  <c:v>2309.65</c:v>
                </c:pt>
                <c:pt idx="301">
                  <c:v>2298.6999999999998</c:v>
                </c:pt>
                <c:pt idx="302">
                  <c:v>2280.1999999999998</c:v>
                </c:pt>
                <c:pt idx="303">
                  <c:v>2330.6</c:v>
                </c:pt>
                <c:pt idx="304">
                  <c:v>2348.9499999999998</c:v>
                </c:pt>
                <c:pt idx="305">
                  <c:v>2353.25</c:v>
                </c:pt>
                <c:pt idx="306">
                  <c:v>2308.4499999999998</c:v>
                </c:pt>
                <c:pt idx="307">
                  <c:v>2284.8000000000002</c:v>
                </c:pt>
                <c:pt idx="308">
                  <c:v>2291.9499999999998</c:v>
                </c:pt>
                <c:pt idx="309">
                  <c:v>2280.5</c:v>
                </c:pt>
                <c:pt idx="310">
                  <c:v>2211.6</c:v>
                </c:pt>
                <c:pt idx="311">
                  <c:v>2197.0500000000002</c:v>
                </c:pt>
                <c:pt idx="312">
                  <c:v>2197.6999999999998</c:v>
                </c:pt>
                <c:pt idx="313">
                  <c:v>2199.9</c:v>
                </c:pt>
                <c:pt idx="314">
                  <c:v>2196.9</c:v>
                </c:pt>
                <c:pt idx="315">
                  <c:v>2171</c:v>
                </c:pt>
                <c:pt idx="316">
                  <c:v>2146.5500000000002</c:v>
                </c:pt>
                <c:pt idx="317">
                  <c:v>2146.6999999999998</c:v>
                </c:pt>
                <c:pt idx="318">
                  <c:v>2110.4499999999998</c:v>
                </c:pt>
                <c:pt idx="319">
                  <c:v>2195.9</c:v>
                </c:pt>
                <c:pt idx="320">
                  <c:v>2205</c:v>
                </c:pt>
                <c:pt idx="321">
                  <c:v>2202.85</c:v>
                </c:pt>
                <c:pt idx="322">
                  <c:v>2252.6</c:v>
                </c:pt>
                <c:pt idx="323">
                  <c:v>2303.9</c:v>
                </c:pt>
                <c:pt idx="324">
                  <c:v>2320.65</c:v>
                </c:pt>
                <c:pt idx="325">
                  <c:v>2317.65</c:v>
                </c:pt>
                <c:pt idx="326">
                  <c:v>2233.4499999999998</c:v>
                </c:pt>
                <c:pt idx="327">
                  <c:v>2230.6</c:v>
                </c:pt>
                <c:pt idx="328">
                  <c:v>2282.35</c:v>
                </c:pt>
                <c:pt idx="329">
                  <c:v>2375.1999999999998</c:v>
                </c:pt>
                <c:pt idx="330">
                  <c:v>2401.5</c:v>
                </c:pt>
                <c:pt idx="331">
                  <c:v>2498.4</c:v>
                </c:pt>
                <c:pt idx="332">
                  <c:v>2472.9499999999998</c:v>
                </c:pt>
                <c:pt idx="333">
                  <c:v>2496.85</c:v>
                </c:pt>
                <c:pt idx="334">
                  <c:v>2490.6</c:v>
                </c:pt>
                <c:pt idx="335">
                  <c:v>2449.5500000000002</c:v>
                </c:pt>
                <c:pt idx="336">
                  <c:v>2497.75</c:v>
                </c:pt>
                <c:pt idx="337">
                  <c:v>2497.8000000000002</c:v>
                </c:pt>
                <c:pt idx="338">
                  <c:v>2568.5</c:v>
                </c:pt>
                <c:pt idx="339">
                  <c:v>2553.5</c:v>
                </c:pt>
                <c:pt idx="340">
                  <c:v>2567.9499999999998</c:v>
                </c:pt>
                <c:pt idx="341">
                  <c:v>2604.5</c:v>
                </c:pt>
                <c:pt idx="342">
                  <c:v>2607.4499999999998</c:v>
                </c:pt>
                <c:pt idx="343">
                  <c:v>2640.6</c:v>
                </c:pt>
                <c:pt idx="344">
                  <c:v>2623.6</c:v>
                </c:pt>
                <c:pt idx="345">
                  <c:v>2547.1</c:v>
                </c:pt>
                <c:pt idx="346">
                  <c:v>2581.9499999999998</c:v>
                </c:pt>
                <c:pt idx="347">
                  <c:v>2620.1</c:v>
                </c:pt>
                <c:pt idx="348">
                  <c:v>2637.4</c:v>
                </c:pt>
                <c:pt idx="349">
                  <c:v>2593</c:v>
                </c:pt>
                <c:pt idx="350">
                  <c:v>2635.25</c:v>
                </c:pt>
                <c:pt idx="351">
                  <c:v>2626.35</c:v>
                </c:pt>
                <c:pt idx="352">
                  <c:v>2627.95</c:v>
                </c:pt>
                <c:pt idx="353">
                  <c:v>2645.4</c:v>
                </c:pt>
                <c:pt idx="354">
                  <c:v>2650.35</c:v>
                </c:pt>
                <c:pt idx="355">
                  <c:v>2642.8</c:v>
                </c:pt>
                <c:pt idx="356">
                  <c:v>2613.6999999999998</c:v>
                </c:pt>
                <c:pt idx="357">
                  <c:v>2594.9499999999998</c:v>
                </c:pt>
                <c:pt idx="358">
                  <c:v>2644.5</c:v>
                </c:pt>
                <c:pt idx="359">
                  <c:v>2684.65</c:v>
                </c:pt>
                <c:pt idx="360">
                  <c:v>2682.05</c:v>
                </c:pt>
                <c:pt idx="361">
                  <c:v>2634.55</c:v>
                </c:pt>
                <c:pt idx="362">
                  <c:v>2626.7</c:v>
                </c:pt>
                <c:pt idx="363">
                  <c:v>2592.75</c:v>
                </c:pt>
                <c:pt idx="364">
                  <c:v>2588.25</c:v>
                </c:pt>
                <c:pt idx="365">
                  <c:v>2574.1999999999998</c:v>
                </c:pt>
                <c:pt idx="366">
                  <c:v>2571.5500000000002</c:v>
                </c:pt>
                <c:pt idx="367">
                  <c:v>2575.8000000000002</c:v>
                </c:pt>
                <c:pt idx="368">
                  <c:v>2659.85</c:v>
                </c:pt>
                <c:pt idx="369">
                  <c:v>2606</c:v>
                </c:pt>
                <c:pt idx="370">
                  <c:v>2603.6</c:v>
                </c:pt>
                <c:pt idx="371">
                  <c:v>2600.6</c:v>
                </c:pt>
                <c:pt idx="372">
                  <c:v>2573.1</c:v>
                </c:pt>
                <c:pt idx="373">
                  <c:v>2564.6</c:v>
                </c:pt>
                <c:pt idx="374">
                  <c:v>2577.15</c:v>
                </c:pt>
                <c:pt idx="375">
                  <c:v>2588.6999999999998</c:v>
                </c:pt>
                <c:pt idx="376">
                  <c:v>2580.4</c:v>
                </c:pt>
                <c:pt idx="377">
                  <c:v>2586.6</c:v>
                </c:pt>
                <c:pt idx="378">
                  <c:v>2571.4</c:v>
                </c:pt>
                <c:pt idx="379">
                  <c:v>2560.4</c:v>
                </c:pt>
                <c:pt idx="380">
                  <c:v>2528.15</c:v>
                </c:pt>
                <c:pt idx="381">
                  <c:v>2579.25</c:v>
                </c:pt>
                <c:pt idx="382">
                  <c:v>2583.5500000000002</c:v>
                </c:pt>
                <c:pt idx="383">
                  <c:v>2623.6</c:v>
                </c:pt>
                <c:pt idx="384">
                  <c:v>2692.75</c:v>
                </c:pt>
                <c:pt idx="385">
                  <c:v>2682.05</c:v>
                </c:pt>
                <c:pt idx="386">
                  <c:v>2660.55</c:v>
                </c:pt>
                <c:pt idx="387">
                  <c:v>2679.25</c:v>
                </c:pt>
                <c:pt idx="388">
                  <c:v>2702.1</c:v>
                </c:pt>
                <c:pt idx="389">
                  <c:v>2700.55</c:v>
                </c:pt>
                <c:pt idx="390">
                  <c:v>2696.45</c:v>
                </c:pt>
                <c:pt idx="391">
                  <c:v>2622.5</c:v>
                </c:pt>
                <c:pt idx="392">
                  <c:v>2667.95</c:v>
                </c:pt>
                <c:pt idx="393">
                  <c:v>2614</c:v>
                </c:pt>
                <c:pt idx="394">
                  <c:v>2599.6999999999998</c:v>
                </c:pt>
                <c:pt idx="395">
                  <c:v>2605.6</c:v>
                </c:pt>
                <c:pt idx="396">
                  <c:v>2550.65</c:v>
                </c:pt>
                <c:pt idx="397">
                  <c:v>2591.35</c:v>
                </c:pt>
                <c:pt idx="398">
                  <c:v>2566.4</c:v>
                </c:pt>
                <c:pt idx="399">
                  <c:v>2565.58</c:v>
                </c:pt>
                <c:pt idx="400">
                  <c:v>2580.2800000000002</c:v>
                </c:pt>
                <c:pt idx="401">
                  <c:v>2591.9299999999998</c:v>
                </c:pt>
                <c:pt idx="402">
                  <c:v>2572.7600000000002</c:v>
                </c:pt>
                <c:pt idx="403">
                  <c:v>2590.58</c:v>
                </c:pt>
                <c:pt idx="404">
                  <c:v>2643.38</c:v>
                </c:pt>
                <c:pt idx="405">
                  <c:v>2562.9</c:v>
                </c:pt>
                <c:pt idx="406">
                  <c:v>2495.46</c:v>
                </c:pt>
                <c:pt idx="407">
                  <c:v>2509.0100000000002</c:v>
                </c:pt>
                <c:pt idx="408">
                  <c:v>2514.2399999999998</c:v>
                </c:pt>
                <c:pt idx="409">
                  <c:v>2540.58</c:v>
                </c:pt>
                <c:pt idx="410">
                  <c:v>2541.6799999999998</c:v>
                </c:pt>
                <c:pt idx="411">
                  <c:v>2508.31</c:v>
                </c:pt>
                <c:pt idx="412">
                  <c:v>2536.25</c:v>
                </c:pt>
                <c:pt idx="413">
                  <c:v>2510.35</c:v>
                </c:pt>
                <c:pt idx="414">
                  <c:v>2522.75</c:v>
                </c:pt>
                <c:pt idx="415">
                  <c:v>2498.85</c:v>
                </c:pt>
                <c:pt idx="416">
                  <c:v>2503.63</c:v>
                </c:pt>
                <c:pt idx="417">
                  <c:v>2493.12</c:v>
                </c:pt>
                <c:pt idx="418">
                  <c:v>2448.0500000000002</c:v>
                </c:pt>
                <c:pt idx="419">
                  <c:v>2447.75</c:v>
                </c:pt>
                <c:pt idx="420">
                  <c:v>2468.02</c:v>
                </c:pt>
                <c:pt idx="421">
                  <c:v>2450.2399999999998</c:v>
                </c:pt>
                <c:pt idx="422">
                  <c:v>2473.85</c:v>
                </c:pt>
                <c:pt idx="423">
                  <c:v>2491.48</c:v>
                </c:pt>
                <c:pt idx="424">
                  <c:v>2505.7199999999998</c:v>
                </c:pt>
                <c:pt idx="425">
                  <c:v>2497.41</c:v>
                </c:pt>
                <c:pt idx="426">
                  <c:v>2539.04</c:v>
                </c:pt>
                <c:pt idx="427">
                  <c:v>2527.39</c:v>
                </c:pt>
                <c:pt idx="428">
                  <c:v>2515.19</c:v>
                </c:pt>
                <c:pt idx="429">
                  <c:v>2623.75</c:v>
                </c:pt>
                <c:pt idx="430">
                  <c:v>2673.7</c:v>
                </c:pt>
                <c:pt idx="431">
                  <c:v>2652.29</c:v>
                </c:pt>
                <c:pt idx="432">
                  <c:v>2604.73</c:v>
                </c:pt>
                <c:pt idx="433">
                  <c:v>2609.46</c:v>
                </c:pt>
                <c:pt idx="434">
                  <c:v>2644.02</c:v>
                </c:pt>
                <c:pt idx="435">
                  <c:v>2696.61</c:v>
                </c:pt>
                <c:pt idx="436">
                  <c:v>2694.72</c:v>
                </c:pt>
                <c:pt idx="437">
                  <c:v>2711.45</c:v>
                </c:pt>
                <c:pt idx="438">
                  <c:v>2706.47</c:v>
                </c:pt>
                <c:pt idx="439">
                  <c:v>2699.55</c:v>
                </c:pt>
                <c:pt idx="440">
                  <c:v>2674</c:v>
                </c:pt>
                <c:pt idx="441">
                  <c:v>2652.69</c:v>
                </c:pt>
                <c:pt idx="442">
                  <c:v>2660.71</c:v>
                </c:pt>
                <c:pt idx="443">
                  <c:v>2707.32</c:v>
                </c:pt>
                <c:pt idx="444">
                  <c:v>2663.94</c:v>
                </c:pt>
                <c:pt idx="445">
                  <c:v>2655.63</c:v>
                </c:pt>
                <c:pt idx="446">
                  <c:v>2634.86</c:v>
                </c:pt>
                <c:pt idx="447">
                  <c:v>2610.71</c:v>
                </c:pt>
                <c:pt idx="448">
                  <c:v>2607.0700000000002</c:v>
                </c:pt>
                <c:pt idx="449">
                  <c:v>2582.9699999999998</c:v>
                </c:pt>
                <c:pt idx="450">
                  <c:v>2573.35</c:v>
                </c:pt>
                <c:pt idx="451">
                  <c:v>2557.86</c:v>
                </c:pt>
                <c:pt idx="452">
                  <c:v>2550.89</c:v>
                </c:pt>
                <c:pt idx="453">
                  <c:v>2548.25</c:v>
                </c:pt>
                <c:pt idx="454">
                  <c:v>2531.9699999999998</c:v>
                </c:pt>
                <c:pt idx="455">
                  <c:v>2526.04</c:v>
                </c:pt>
                <c:pt idx="456">
                  <c:v>2573.4499999999998</c:v>
                </c:pt>
                <c:pt idx="457">
                  <c:v>2566.23</c:v>
                </c:pt>
                <c:pt idx="458">
                  <c:v>2613.64</c:v>
                </c:pt>
                <c:pt idx="459">
                  <c:v>2633.36</c:v>
                </c:pt>
                <c:pt idx="460">
                  <c:v>2582.9699999999998</c:v>
                </c:pt>
                <c:pt idx="461">
                  <c:v>2579.7800000000002</c:v>
                </c:pt>
                <c:pt idx="462">
                  <c:v>2613.59</c:v>
                </c:pt>
                <c:pt idx="463">
                  <c:v>2586.8000000000002</c:v>
                </c:pt>
                <c:pt idx="464">
                  <c:v>2656.97</c:v>
                </c:pt>
                <c:pt idx="465">
                  <c:v>2675.55</c:v>
                </c:pt>
                <c:pt idx="466">
                  <c:v>2639.24</c:v>
                </c:pt>
                <c:pt idx="467">
                  <c:v>2538.64</c:v>
                </c:pt>
                <c:pt idx="468">
                  <c:v>2586.1</c:v>
                </c:pt>
                <c:pt idx="469">
                  <c:v>2590.19</c:v>
                </c:pt>
                <c:pt idx="470">
                  <c:v>2611.9499999999998</c:v>
                </c:pt>
                <c:pt idx="471">
                  <c:v>2601.79</c:v>
                </c:pt>
                <c:pt idx="472">
                  <c:v>2557.9699999999998</c:v>
                </c:pt>
                <c:pt idx="473">
                  <c:v>2566.5300000000002</c:v>
                </c:pt>
                <c:pt idx="474">
                  <c:v>2564.04</c:v>
                </c:pt>
                <c:pt idx="475">
                  <c:v>2624.4</c:v>
                </c:pt>
                <c:pt idx="476">
                  <c:v>2638.25</c:v>
                </c:pt>
                <c:pt idx="477">
                  <c:v>2627.14</c:v>
                </c:pt>
                <c:pt idx="478">
                  <c:v>2590.88</c:v>
                </c:pt>
                <c:pt idx="479">
                  <c:v>2572.56</c:v>
                </c:pt>
                <c:pt idx="480">
                  <c:v>2576.44</c:v>
                </c:pt>
                <c:pt idx="481">
                  <c:v>2567.2800000000002</c:v>
                </c:pt>
                <c:pt idx="482">
                  <c:v>2570.7600000000002</c:v>
                </c:pt>
                <c:pt idx="483">
                  <c:v>2569.37</c:v>
                </c:pt>
                <c:pt idx="484">
                  <c:v>2538.34</c:v>
                </c:pt>
                <c:pt idx="485">
                  <c:v>2517.08</c:v>
                </c:pt>
                <c:pt idx="486">
                  <c:v>2505.52</c:v>
                </c:pt>
                <c:pt idx="487">
                  <c:v>2501.4899999999998</c:v>
                </c:pt>
                <c:pt idx="488">
                  <c:v>2506.17</c:v>
                </c:pt>
                <c:pt idx="489">
                  <c:v>2484.16</c:v>
                </c:pt>
                <c:pt idx="490">
                  <c:v>2480.77</c:v>
                </c:pt>
                <c:pt idx="491">
                  <c:v>2474.35</c:v>
                </c:pt>
                <c:pt idx="492">
                  <c:v>2458.36</c:v>
                </c:pt>
                <c:pt idx="493">
                  <c:v>2450.89</c:v>
                </c:pt>
                <c:pt idx="494">
                  <c:v>2456.4699999999998</c:v>
                </c:pt>
                <c:pt idx="495">
                  <c:v>2445.61</c:v>
                </c:pt>
                <c:pt idx="496">
                  <c:v>2461.1999999999998</c:v>
                </c:pt>
                <c:pt idx="497">
                  <c:v>2475</c:v>
                </c:pt>
                <c:pt idx="498">
                  <c:v>2475.2399999999998</c:v>
                </c:pt>
                <c:pt idx="499">
                  <c:v>2451.64</c:v>
                </c:pt>
                <c:pt idx="500">
                  <c:v>2455.67</c:v>
                </c:pt>
                <c:pt idx="501">
                  <c:v>2445.36</c:v>
                </c:pt>
                <c:pt idx="502">
                  <c:v>2432.7600000000002</c:v>
                </c:pt>
                <c:pt idx="503">
                  <c:v>2396.56</c:v>
                </c:pt>
                <c:pt idx="504">
                  <c:v>2449.6</c:v>
                </c:pt>
                <c:pt idx="505">
                  <c:v>2437.69</c:v>
                </c:pt>
                <c:pt idx="506">
                  <c:v>2501.2399999999998</c:v>
                </c:pt>
                <c:pt idx="507">
                  <c:v>2452.83</c:v>
                </c:pt>
                <c:pt idx="508">
                  <c:v>2466.5300000000002</c:v>
                </c:pt>
                <c:pt idx="509">
                  <c:v>2475.2399999999998</c:v>
                </c:pt>
                <c:pt idx="510">
                  <c:v>2470.96</c:v>
                </c:pt>
                <c:pt idx="511">
                  <c:v>2489.09</c:v>
                </c:pt>
                <c:pt idx="512">
                  <c:v>2472.9499999999998</c:v>
                </c:pt>
                <c:pt idx="513">
                  <c:v>2520.81</c:v>
                </c:pt>
                <c:pt idx="514">
                  <c:v>2550.1999999999998</c:v>
                </c:pt>
                <c:pt idx="515">
                  <c:v>2526.04</c:v>
                </c:pt>
                <c:pt idx="516">
                  <c:v>2572.5100000000002</c:v>
                </c:pt>
                <c:pt idx="517">
                  <c:v>2555.08</c:v>
                </c:pt>
                <c:pt idx="518">
                  <c:v>2522.11</c:v>
                </c:pt>
                <c:pt idx="519">
                  <c:v>2537.65</c:v>
                </c:pt>
                <c:pt idx="520">
                  <c:v>2518.92</c:v>
                </c:pt>
                <c:pt idx="521">
                  <c:v>2526.14</c:v>
                </c:pt>
                <c:pt idx="522">
                  <c:v>2541.73</c:v>
                </c:pt>
                <c:pt idx="523">
                  <c:v>2530.9699999999998</c:v>
                </c:pt>
                <c:pt idx="524">
                  <c:v>2521.56</c:v>
                </c:pt>
                <c:pt idx="525">
                  <c:v>2482.71</c:v>
                </c:pt>
                <c:pt idx="526">
                  <c:v>2488.04</c:v>
                </c:pt>
                <c:pt idx="527">
                  <c:v>2489.84</c:v>
                </c:pt>
                <c:pt idx="528">
                  <c:v>2480.5700000000002</c:v>
                </c:pt>
                <c:pt idx="529">
                  <c:v>2500.84</c:v>
                </c:pt>
                <c:pt idx="530">
                  <c:v>2459.16</c:v>
                </c:pt>
                <c:pt idx="531">
                  <c:v>2447.5500000000002</c:v>
                </c:pt>
                <c:pt idx="532">
                  <c:v>2441.98</c:v>
                </c:pt>
                <c:pt idx="533">
                  <c:v>2476.14</c:v>
                </c:pt>
                <c:pt idx="534">
                  <c:v>2496.81</c:v>
                </c:pt>
                <c:pt idx="535">
                  <c:v>2490.83</c:v>
                </c:pt>
                <c:pt idx="536">
                  <c:v>2506.3200000000002</c:v>
                </c:pt>
                <c:pt idx="537">
                  <c:v>2505.8200000000002</c:v>
                </c:pt>
                <c:pt idx="538">
                  <c:v>2512.6999999999998</c:v>
                </c:pt>
                <c:pt idx="539">
                  <c:v>2582.12</c:v>
                </c:pt>
                <c:pt idx="540">
                  <c:v>2613</c:v>
                </c:pt>
                <c:pt idx="541">
                  <c:v>2651.69</c:v>
                </c:pt>
                <c:pt idx="542">
                  <c:v>2665.29</c:v>
                </c:pt>
                <c:pt idx="543">
                  <c:v>2651.19</c:v>
                </c:pt>
                <c:pt idx="544">
                  <c:v>2617.13</c:v>
                </c:pt>
                <c:pt idx="545">
                  <c:v>2630.97</c:v>
                </c:pt>
                <c:pt idx="546">
                  <c:v>2627.64</c:v>
                </c:pt>
                <c:pt idx="547">
                  <c:v>2617.88</c:v>
                </c:pt>
                <c:pt idx="548">
                  <c:v>2604.58</c:v>
                </c:pt>
                <c:pt idx="549">
                  <c:v>2586.9499999999998</c:v>
                </c:pt>
                <c:pt idx="550">
                  <c:v>2641.83</c:v>
                </c:pt>
                <c:pt idx="551">
                  <c:v>2639.79</c:v>
                </c:pt>
                <c:pt idx="552">
                  <c:v>2646.01</c:v>
                </c:pt>
                <c:pt idx="553">
                  <c:v>2656.97</c:v>
                </c:pt>
                <c:pt idx="554">
                  <c:v>2687.2</c:v>
                </c:pt>
                <c:pt idx="555">
                  <c:v>2705.93</c:v>
                </c:pt>
                <c:pt idx="556">
                  <c:v>2685.11</c:v>
                </c:pt>
                <c:pt idx="557">
                  <c:v>2680.48</c:v>
                </c:pt>
                <c:pt idx="558">
                  <c:v>2705.43</c:v>
                </c:pt>
                <c:pt idx="559">
                  <c:v>2669.27</c:v>
                </c:pt>
                <c:pt idx="560">
                  <c:v>2625.75</c:v>
                </c:pt>
                <c:pt idx="561">
                  <c:v>2632.97</c:v>
                </c:pt>
                <c:pt idx="562">
                  <c:v>2665.29</c:v>
                </c:pt>
                <c:pt idx="563">
                  <c:v>2688.05</c:v>
                </c:pt>
                <c:pt idx="564">
                  <c:v>2679.03</c:v>
                </c:pt>
                <c:pt idx="565">
                  <c:v>2704.88</c:v>
                </c:pt>
                <c:pt idx="566">
                  <c:v>2672.61</c:v>
                </c:pt>
                <c:pt idx="567">
                  <c:v>2665.49</c:v>
                </c:pt>
                <c:pt idx="568">
                  <c:v>2665.99</c:v>
                </c:pt>
                <c:pt idx="569">
                  <c:v>2643.82</c:v>
                </c:pt>
                <c:pt idx="570">
                  <c:v>2631.12</c:v>
                </c:pt>
                <c:pt idx="571">
                  <c:v>2641.58</c:v>
                </c:pt>
                <c:pt idx="572">
                  <c:v>2640.83</c:v>
                </c:pt>
                <c:pt idx="573">
                  <c:v>2650.7</c:v>
                </c:pt>
                <c:pt idx="574">
                  <c:v>2667.53</c:v>
                </c:pt>
                <c:pt idx="575">
                  <c:v>2690.34</c:v>
                </c:pt>
                <c:pt idx="576">
                  <c:v>2689.29</c:v>
                </c:pt>
                <c:pt idx="577">
                  <c:v>2744.92</c:v>
                </c:pt>
                <c:pt idx="578">
                  <c:v>2746.17</c:v>
                </c:pt>
                <c:pt idx="579">
                  <c:v>2687.4</c:v>
                </c:pt>
                <c:pt idx="580">
                  <c:v>2646.01</c:v>
                </c:pt>
                <c:pt idx="581">
                  <c:v>2673.85</c:v>
                </c:pt>
                <c:pt idx="582">
                  <c:v>2663.05</c:v>
                </c:pt>
                <c:pt idx="583">
                  <c:v>2644.17</c:v>
                </c:pt>
                <c:pt idx="584">
                  <c:v>2666.28</c:v>
                </c:pt>
                <c:pt idx="585">
                  <c:v>2671.06</c:v>
                </c:pt>
                <c:pt idx="586">
                  <c:v>2672.16</c:v>
                </c:pt>
                <c:pt idx="587">
                  <c:v>2661</c:v>
                </c:pt>
                <c:pt idx="588">
                  <c:v>2692.53</c:v>
                </c:pt>
                <c:pt idx="589">
                  <c:v>2593.67</c:v>
                </c:pt>
                <c:pt idx="590">
                  <c:v>2570.02</c:v>
                </c:pt>
                <c:pt idx="591">
                  <c:v>2557.9699999999998</c:v>
                </c:pt>
                <c:pt idx="592">
                  <c:v>2573.0500000000002</c:v>
                </c:pt>
                <c:pt idx="593">
                  <c:v>2559.66</c:v>
                </c:pt>
                <c:pt idx="594">
                  <c:v>2574.35</c:v>
                </c:pt>
                <c:pt idx="595">
                  <c:v>2550.64</c:v>
                </c:pt>
                <c:pt idx="596">
                  <c:v>2540.98</c:v>
                </c:pt>
                <c:pt idx="597">
                  <c:v>2558.7600000000002</c:v>
                </c:pt>
                <c:pt idx="598">
                  <c:v>2541.1799999999998</c:v>
                </c:pt>
                <c:pt idx="599">
                  <c:v>2535.9</c:v>
                </c:pt>
                <c:pt idx="600">
                  <c:v>2559.0100000000002</c:v>
                </c:pt>
                <c:pt idx="601">
                  <c:v>2555.67</c:v>
                </c:pt>
                <c:pt idx="602">
                  <c:v>2542.08</c:v>
                </c:pt>
                <c:pt idx="603">
                  <c:v>2526.64</c:v>
                </c:pt>
                <c:pt idx="604">
                  <c:v>2491.88</c:v>
                </c:pt>
                <c:pt idx="605">
                  <c:v>2523.0500000000002</c:v>
                </c:pt>
                <c:pt idx="606">
                  <c:v>2542.48</c:v>
                </c:pt>
                <c:pt idx="607">
                  <c:v>2533.16</c:v>
                </c:pt>
                <c:pt idx="608">
                  <c:v>2544.62</c:v>
                </c:pt>
                <c:pt idx="609">
                  <c:v>2552.59</c:v>
                </c:pt>
                <c:pt idx="610">
                  <c:v>2555.62</c:v>
                </c:pt>
                <c:pt idx="611">
                  <c:v>2563.84</c:v>
                </c:pt>
                <c:pt idx="612">
                  <c:v>2571.0100000000002</c:v>
                </c:pt>
                <c:pt idx="613">
                  <c:v>2553.38</c:v>
                </c:pt>
                <c:pt idx="614">
                  <c:v>2545.56</c:v>
                </c:pt>
                <c:pt idx="615">
                  <c:v>2516.13</c:v>
                </c:pt>
                <c:pt idx="616">
                  <c:v>2521.91</c:v>
                </c:pt>
                <c:pt idx="617">
                  <c:v>2495.11</c:v>
                </c:pt>
                <c:pt idx="618">
                  <c:v>2494.87</c:v>
                </c:pt>
                <c:pt idx="619">
                  <c:v>2491.48</c:v>
                </c:pt>
                <c:pt idx="620">
                  <c:v>2497.11</c:v>
                </c:pt>
                <c:pt idx="621">
                  <c:v>2513.4899999999998</c:v>
                </c:pt>
                <c:pt idx="622">
                  <c:v>2497.5</c:v>
                </c:pt>
                <c:pt idx="623">
                  <c:v>2503.83</c:v>
                </c:pt>
                <c:pt idx="624">
                  <c:v>2526.19</c:v>
                </c:pt>
                <c:pt idx="625">
                  <c:v>2488.94</c:v>
                </c:pt>
                <c:pt idx="626">
                  <c:v>2496.61</c:v>
                </c:pt>
                <c:pt idx="627">
                  <c:v>2490.88</c:v>
                </c:pt>
                <c:pt idx="628">
                  <c:v>2459.91</c:v>
                </c:pt>
                <c:pt idx="629">
                  <c:v>2478.7800000000002</c:v>
                </c:pt>
                <c:pt idx="630">
                  <c:v>2457.0700000000002</c:v>
                </c:pt>
                <c:pt idx="631">
                  <c:v>2463.54</c:v>
                </c:pt>
                <c:pt idx="632">
                  <c:v>2472.6</c:v>
                </c:pt>
                <c:pt idx="633">
                  <c:v>2466.0300000000002</c:v>
                </c:pt>
                <c:pt idx="634">
                  <c:v>2469.12</c:v>
                </c:pt>
                <c:pt idx="635">
                  <c:v>2491.83</c:v>
                </c:pt>
                <c:pt idx="636">
                  <c:v>2450.59</c:v>
                </c:pt>
                <c:pt idx="637">
                  <c:v>2455.8200000000002</c:v>
                </c:pt>
                <c:pt idx="638">
                  <c:v>2459.11</c:v>
                </c:pt>
                <c:pt idx="639">
                  <c:v>2497.9</c:v>
                </c:pt>
                <c:pt idx="640">
                  <c:v>2509.56</c:v>
                </c:pt>
                <c:pt idx="641">
                  <c:v>2489.4899999999998</c:v>
                </c:pt>
                <c:pt idx="642">
                  <c:v>2501.34</c:v>
                </c:pt>
                <c:pt idx="643">
                  <c:v>2506.2199999999998</c:v>
                </c:pt>
                <c:pt idx="644">
                  <c:v>2546.2600000000002</c:v>
                </c:pt>
                <c:pt idx="645">
                  <c:v>2546.86</c:v>
                </c:pt>
                <c:pt idx="646">
                  <c:v>2559.2600000000002</c:v>
                </c:pt>
                <c:pt idx="647">
                  <c:v>2548.15</c:v>
                </c:pt>
                <c:pt idx="648">
                  <c:v>2546.0100000000002</c:v>
                </c:pt>
                <c:pt idx="649">
                  <c:v>2538.14</c:v>
                </c:pt>
                <c:pt idx="650">
                  <c:v>2537.9899999999998</c:v>
                </c:pt>
                <c:pt idx="651">
                  <c:v>2485.25</c:v>
                </c:pt>
                <c:pt idx="652">
                  <c:v>2473.65</c:v>
                </c:pt>
                <c:pt idx="653">
                  <c:v>2467.48</c:v>
                </c:pt>
                <c:pt idx="654">
                  <c:v>2466.58</c:v>
                </c:pt>
                <c:pt idx="655">
                  <c:v>2472.21</c:v>
                </c:pt>
                <c:pt idx="656">
                  <c:v>2469.0700000000002</c:v>
                </c:pt>
                <c:pt idx="657">
                  <c:v>2474.15</c:v>
                </c:pt>
                <c:pt idx="658">
                  <c:v>2462.4499999999998</c:v>
                </c:pt>
                <c:pt idx="659">
                  <c:v>2476.94</c:v>
                </c:pt>
                <c:pt idx="660">
                  <c:v>2499.3000000000002</c:v>
                </c:pt>
                <c:pt idx="661">
                  <c:v>2487.5</c:v>
                </c:pt>
                <c:pt idx="662">
                  <c:v>2486.5500000000002</c:v>
                </c:pt>
                <c:pt idx="663">
                  <c:v>2509.36</c:v>
                </c:pt>
                <c:pt idx="664">
                  <c:v>2466.88</c:v>
                </c:pt>
                <c:pt idx="665">
                  <c:v>2476.69</c:v>
                </c:pt>
                <c:pt idx="666">
                  <c:v>2491.5500000000002</c:v>
                </c:pt>
                <c:pt idx="667">
                  <c:v>2468.3200000000002</c:v>
                </c:pt>
                <c:pt idx="668">
                  <c:v>2476.54</c:v>
                </c:pt>
                <c:pt idx="669">
                  <c:v>2481.3200000000002</c:v>
                </c:pt>
                <c:pt idx="670">
                  <c:v>2518.77</c:v>
                </c:pt>
                <c:pt idx="671">
                  <c:v>2496.5100000000002</c:v>
                </c:pt>
                <c:pt idx="672">
                  <c:v>2495.31</c:v>
                </c:pt>
                <c:pt idx="673">
                  <c:v>2511.9</c:v>
                </c:pt>
                <c:pt idx="674">
                  <c:v>2509.91</c:v>
                </c:pt>
                <c:pt idx="675">
                  <c:v>2505.23</c:v>
                </c:pt>
                <c:pt idx="676">
                  <c:v>2500.59</c:v>
                </c:pt>
                <c:pt idx="677">
                  <c:v>2515.04</c:v>
                </c:pt>
                <c:pt idx="678">
                  <c:v>2535.4499999999998</c:v>
                </c:pt>
                <c:pt idx="679">
                  <c:v>2553.48</c:v>
                </c:pt>
                <c:pt idx="680">
                  <c:v>2591.98</c:v>
                </c:pt>
                <c:pt idx="681">
                  <c:v>2553.08</c:v>
                </c:pt>
                <c:pt idx="682">
                  <c:v>2557.4699999999998</c:v>
                </c:pt>
                <c:pt idx="683">
                  <c:v>2508.2600000000002</c:v>
                </c:pt>
                <c:pt idx="684">
                  <c:v>2512.3000000000002</c:v>
                </c:pt>
                <c:pt idx="685">
                  <c:v>2493.7199999999998</c:v>
                </c:pt>
                <c:pt idx="686">
                  <c:v>2492.8200000000002</c:v>
                </c:pt>
                <c:pt idx="687">
                  <c:v>2501.94</c:v>
                </c:pt>
                <c:pt idx="688">
                  <c:v>2506.37</c:v>
                </c:pt>
                <c:pt idx="689">
                  <c:v>2512.89</c:v>
                </c:pt>
                <c:pt idx="690">
                  <c:v>2525.44</c:v>
                </c:pt>
                <c:pt idx="691">
                  <c:v>2550.54</c:v>
                </c:pt>
                <c:pt idx="692">
                  <c:v>2547.36</c:v>
                </c:pt>
                <c:pt idx="693">
                  <c:v>2543.0700000000002</c:v>
                </c:pt>
                <c:pt idx="694">
                  <c:v>2565.39</c:v>
                </c:pt>
                <c:pt idx="695">
                  <c:v>2574.5</c:v>
                </c:pt>
                <c:pt idx="696">
                  <c:v>2597.96</c:v>
                </c:pt>
                <c:pt idx="697">
                  <c:v>2623.35</c:v>
                </c:pt>
                <c:pt idx="698">
                  <c:v>2653.39</c:v>
                </c:pt>
                <c:pt idx="699">
                  <c:v>2644.22</c:v>
                </c:pt>
                <c:pt idx="700">
                  <c:v>2603.4299999999998</c:v>
                </c:pt>
                <c:pt idx="701">
                  <c:v>2596.21</c:v>
                </c:pt>
                <c:pt idx="702">
                  <c:v>2582.27</c:v>
                </c:pt>
                <c:pt idx="703">
                  <c:v>2609.66</c:v>
                </c:pt>
                <c:pt idx="704">
                  <c:v>2568.02</c:v>
                </c:pt>
                <c:pt idx="705">
                  <c:v>2569.52</c:v>
                </c:pt>
                <c:pt idx="706">
                  <c:v>2567.1799999999998</c:v>
                </c:pt>
                <c:pt idx="707">
                  <c:v>2526.14</c:v>
                </c:pt>
                <c:pt idx="708">
                  <c:v>2533.91</c:v>
                </c:pt>
                <c:pt idx="709">
                  <c:v>2563</c:v>
                </c:pt>
                <c:pt idx="710">
                  <c:v>2558.91</c:v>
                </c:pt>
                <c:pt idx="711">
                  <c:v>2552.7399999999998</c:v>
                </c:pt>
                <c:pt idx="712">
                  <c:v>2537.9</c:v>
                </c:pt>
                <c:pt idx="713">
                  <c:v>2555.23</c:v>
                </c:pt>
                <c:pt idx="714">
                  <c:v>2468.9</c:v>
                </c:pt>
                <c:pt idx="715">
                  <c:v>2366.13</c:v>
                </c:pt>
                <c:pt idx="716">
                  <c:v>2431.9699999999998</c:v>
                </c:pt>
                <c:pt idx="717">
                  <c:v>2418.67</c:v>
                </c:pt>
                <c:pt idx="718">
                  <c:v>2434.71</c:v>
                </c:pt>
                <c:pt idx="719">
                  <c:v>2448.9</c:v>
                </c:pt>
                <c:pt idx="720">
                  <c:v>2471.71</c:v>
                </c:pt>
                <c:pt idx="721">
                  <c:v>2463.79</c:v>
                </c:pt>
                <c:pt idx="722">
                  <c:v>2442.87</c:v>
                </c:pt>
                <c:pt idx="723">
                  <c:v>2409.9</c:v>
                </c:pt>
                <c:pt idx="724">
                  <c:v>2416.73</c:v>
                </c:pt>
                <c:pt idx="725">
                  <c:v>2415.83</c:v>
                </c:pt>
                <c:pt idx="726">
                  <c:v>2407.46</c:v>
                </c:pt>
                <c:pt idx="727">
                  <c:v>2414.54</c:v>
                </c:pt>
                <c:pt idx="728">
                  <c:v>2376.19</c:v>
                </c:pt>
                <c:pt idx="729">
                  <c:v>2384.5</c:v>
                </c:pt>
                <c:pt idx="730">
                  <c:v>2378.48</c:v>
                </c:pt>
                <c:pt idx="731">
                  <c:v>2341.5300000000002</c:v>
                </c:pt>
                <c:pt idx="732">
                  <c:v>2365.83</c:v>
                </c:pt>
                <c:pt idx="733">
                  <c:v>2377.6799999999998</c:v>
                </c:pt>
                <c:pt idx="734">
                  <c:v>2394.56</c:v>
                </c:pt>
                <c:pt idx="735">
                  <c:v>2397.5500000000002</c:v>
                </c:pt>
                <c:pt idx="736">
                  <c:v>2378.63</c:v>
                </c:pt>
                <c:pt idx="737">
                  <c:v>2384.6</c:v>
                </c:pt>
                <c:pt idx="738">
                  <c:v>2394.7199999999998</c:v>
                </c:pt>
                <c:pt idx="739">
                  <c:v>2395.7600000000002</c:v>
                </c:pt>
                <c:pt idx="740">
                  <c:v>2411.9499999999998</c:v>
                </c:pt>
                <c:pt idx="741">
                  <c:v>2402.73</c:v>
                </c:pt>
                <c:pt idx="742">
                  <c:v>2400.14</c:v>
                </c:pt>
                <c:pt idx="743">
                  <c:v>2416.1999999999998</c:v>
                </c:pt>
                <c:pt idx="744">
                  <c:v>2412.39</c:v>
                </c:pt>
                <c:pt idx="745">
                  <c:v>2390.33</c:v>
                </c:pt>
                <c:pt idx="746">
                  <c:v>2391.2800000000002</c:v>
                </c:pt>
                <c:pt idx="747">
                  <c:v>2409.9499999999998</c:v>
                </c:pt>
                <c:pt idx="748">
                  <c:v>2380.37</c:v>
                </c:pt>
                <c:pt idx="749">
                  <c:v>2368.7199999999998</c:v>
                </c:pt>
                <c:pt idx="750">
                  <c:v>2303.4299999999998</c:v>
                </c:pt>
                <c:pt idx="751">
                  <c:v>2325.34</c:v>
                </c:pt>
                <c:pt idx="752">
                  <c:v>2318.4699999999998</c:v>
                </c:pt>
                <c:pt idx="753">
                  <c:v>2290.83</c:v>
                </c:pt>
                <c:pt idx="754">
                  <c:v>2257.96</c:v>
                </c:pt>
                <c:pt idx="755">
                  <c:v>2233.06</c:v>
                </c:pt>
                <c:pt idx="756">
                  <c:v>2233.46</c:v>
                </c:pt>
                <c:pt idx="757">
                  <c:v>2247.6</c:v>
                </c:pt>
                <c:pt idx="758">
                  <c:v>2231.12</c:v>
                </c:pt>
                <c:pt idx="759">
                  <c:v>2230.8200000000002</c:v>
                </c:pt>
                <c:pt idx="760">
                  <c:v>2255.37</c:v>
                </c:pt>
                <c:pt idx="761">
                  <c:v>2276.83</c:v>
                </c:pt>
                <c:pt idx="762">
                  <c:v>2277.63</c:v>
                </c:pt>
                <c:pt idx="763">
                  <c:v>2256.2199999999998</c:v>
                </c:pt>
                <c:pt idx="764">
                  <c:v>2255.9699999999998</c:v>
                </c:pt>
                <c:pt idx="765">
                  <c:v>2257.96</c:v>
                </c:pt>
                <c:pt idx="766">
                  <c:v>2259.9499999999998</c:v>
                </c:pt>
                <c:pt idx="767">
                  <c:v>2255.17</c:v>
                </c:pt>
                <c:pt idx="768">
                  <c:v>2251.9299999999998</c:v>
                </c:pt>
                <c:pt idx="769">
                  <c:v>2223.4499999999998</c:v>
                </c:pt>
                <c:pt idx="770">
                  <c:v>2185.35</c:v>
                </c:pt>
                <c:pt idx="771">
                  <c:v>2211.9899999999998</c:v>
                </c:pt>
                <c:pt idx="772">
                  <c:v>2206.02</c:v>
                </c:pt>
                <c:pt idx="773">
                  <c:v>2222.75</c:v>
                </c:pt>
                <c:pt idx="774">
                  <c:v>2232.61</c:v>
                </c:pt>
                <c:pt idx="775">
                  <c:v>2253.7800000000002</c:v>
                </c:pt>
                <c:pt idx="776">
                  <c:v>2251.29</c:v>
                </c:pt>
                <c:pt idx="777">
                  <c:v>2222</c:v>
                </c:pt>
                <c:pt idx="778">
                  <c:v>2213.83</c:v>
                </c:pt>
                <c:pt idx="779">
                  <c:v>2217.27</c:v>
                </c:pt>
                <c:pt idx="780">
                  <c:v>2221.6</c:v>
                </c:pt>
                <c:pt idx="781">
                  <c:v>2217.4699999999998</c:v>
                </c:pt>
                <c:pt idx="782">
                  <c:v>2208.2600000000002</c:v>
                </c:pt>
                <c:pt idx="783">
                  <c:v>2247.25</c:v>
                </c:pt>
                <c:pt idx="784">
                  <c:v>2369.96</c:v>
                </c:pt>
                <c:pt idx="785">
                  <c:v>2331.7600000000002</c:v>
                </c:pt>
                <c:pt idx="786">
                  <c:v>2316.4299999999998</c:v>
                </c:pt>
                <c:pt idx="787">
                  <c:v>2353.1799999999998</c:v>
                </c:pt>
                <c:pt idx="788">
                  <c:v>2351.29</c:v>
                </c:pt>
                <c:pt idx="789">
                  <c:v>2340.2800000000002</c:v>
                </c:pt>
                <c:pt idx="790">
                  <c:v>2314.09</c:v>
                </c:pt>
                <c:pt idx="791">
                  <c:v>2333.86</c:v>
                </c:pt>
                <c:pt idx="792">
                  <c:v>2311.15</c:v>
                </c:pt>
                <c:pt idx="793">
                  <c:v>2327.15</c:v>
                </c:pt>
                <c:pt idx="794">
                  <c:v>2301.54</c:v>
                </c:pt>
                <c:pt idx="795">
                  <c:v>2357.5100000000002</c:v>
                </c:pt>
                <c:pt idx="796">
                  <c:v>2373.0500000000002</c:v>
                </c:pt>
                <c:pt idx="797">
                  <c:v>2359.65</c:v>
                </c:pt>
                <c:pt idx="798">
                  <c:v>2375.04</c:v>
                </c:pt>
                <c:pt idx="799">
                  <c:v>2386.4499999999998</c:v>
                </c:pt>
                <c:pt idx="800">
                  <c:v>2363.9899999999998</c:v>
                </c:pt>
                <c:pt idx="801">
                  <c:v>2342.0700000000002</c:v>
                </c:pt>
                <c:pt idx="802">
                  <c:v>2319.81</c:v>
                </c:pt>
                <c:pt idx="803">
                  <c:v>2346.56</c:v>
                </c:pt>
                <c:pt idx="804">
                  <c:v>2486.4</c:v>
                </c:pt>
                <c:pt idx="805">
                  <c:v>2592.4299999999998</c:v>
                </c:pt>
                <c:pt idx="806">
                  <c:v>2539.4899999999998</c:v>
                </c:pt>
                <c:pt idx="807">
                  <c:v>2567.58</c:v>
                </c:pt>
                <c:pt idx="808">
                  <c:v>2555.1799999999998</c:v>
                </c:pt>
                <c:pt idx="809">
                  <c:v>2546.21</c:v>
                </c:pt>
                <c:pt idx="810">
                  <c:v>2518.67</c:v>
                </c:pt>
                <c:pt idx="811">
                  <c:v>2477.5300000000002</c:v>
                </c:pt>
                <c:pt idx="812">
                  <c:v>2469.92</c:v>
                </c:pt>
                <c:pt idx="813">
                  <c:v>2476.39</c:v>
                </c:pt>
                <c:pt idx="814">
                  <c:v>2447.2600000000002</c:v>
                </c:pt>
                <c:pt idx="815">
                  <c:v>2472.36</c:v>
                </c:pt>
                <c:pt idx="816">
                  <c:v>2431.62</c:v>
                </c:pt>
                <c:pt idx="817">
                  <c:v>2432.5100000000002</c:v>
                </c:pt>
                <c:pt idx="818">
                  <c:v>2422.5500000000002</c:v>
                </c:pt>
                <c:pt idx="819">
                  <c:v>2435.9</c:v>
                </c:pt>
                <c:pt idx="820">
                  <c:v>2452.39</c:v>
                </c:pt>
                <c:pt idx="821">
                  <c:v>2463.2399999999998</c:v>
                </c:pt>
                <c:pt idx="822">
                  <c:v>2495.17</c:v>
                </c:pt>
                <c:pt idx="823">
                  <c:v>2475.29</c:v>
                </c:pt>
                <c:pt idx="824">
                  <c:v>2500.39</c:v>
                </c:pt>
                <c:pt idx="825">
                  <c:v>2486.0500000000002</c:v>
                </c:pt>
                <c:pt idx="826">
                  <c:v>2536.9</c:v>
                </c:pt>
                <c:pt idx="827">
                  <c:v>2576.89</c:v>
                </c:pt>
                <c:pt idx="828">
                  <c:v>2579.88</c:v>
                </c:pt>
                <c:pt idx="829">
                  <c:v>2600.1</c:v>
                </c:pt>
                <c:pt idx="830">
                  <c:v>2598.5</c:v>
                </c:pt>
                <c:pt idx="831">
                  <c:v>2611.85</c:v>
                </c:pt>
                <c:pt idx="832">
                  <c:v>2609.91</c:v>
                </c:pt>
                <c:pt idx="833">
                  <c:v>2677.79</c:v>
                </c:pt>
                <c:pt idx="834">
                  <c:v>2727.54</c:v>
                </c:pt>
                <c:pt idx="835">
                  <c:v>2716.19</c:v>
                </c:pt>
                <c:pt idx="836">
                  <c:v>2724.45</c:v>
                </c:pt>
                <c:pt idx="837">
                  <c:v>2755.38</c:v>
                </c:pt>
                <c:pt idx="838">
                  <c:v>2706.27</c:v>
                </c:pt>
                <c:pt idx="839">
                  <c:v>2696.46</c:v>
                </c:pt>
                <c:pt idx="840">
                  <c:v>2700.3</c:v>
                </c:pt>
                <c:pt idx="841">
                  <c:v>2700.85</c:v>
                </c:pt>
                <c:pt idx="842">
                  <c:v>2680.73</c:v>
                </c:pt>
                <c:pt idx="843">
                  <c:v>2694.92</c:v>
                </c:pt>
                <c:pt idx="844">
                  <c:v>2704.78</c:v>
                </c:pt>
                <c:pt idx="845">
                  <c:v>2681.87</c:v>
                </c:pt>
                <c:pt idx="846">
                  <c:v>2705.13</c:v>
                </c:pt>
                <c:pt idx="847">
                  <c:v>2739.14</c:v>
                </c:pt>
                <c:pt idx="848">
                  <c:v>2733.17</c:v>
                </c:pt>
                <c:pt idx="849">
                  <c:v>2722.36</c:v>
                </c:pt>
                <c:pt idx="850">
                  <c:v>2736.3</c:v>
                </c:pt>
                <c:pt idx="851">
                  <c:v>2737.8</c:v>
                </c:pt>
                <c:pt idx="852">
                  <c:v>2730.53</c:v>
                </c:pt>
                <c:pt idx="853">
                  <c:v>2711.25</c:v>
                </c:pt>
                <c:pt idx="854">
                  <c:v>2737.35</c:v>
                </c:pt>
                <c:pt idx="855">
                  <c:v>2731.67</c:v>
                </c:pt>
                <c:pt idx="856">
                  <c:v>2740.14</c:v>
                </c:pt>
                <c:pt idx="857">
                  <c:v>2780.13</c:v>
                </c:pt>
                <c:pt idx="858">
                  <c:v>2781.72</c:v>
                </c:pt>
                <c:pt idx="859">
                  <c:v>2804.43</c:v>
                </c:pt>
                <c:pt idx="860">
                  <c:v>2809.96</c:v>
                </c:pt>
                <c:pt idx="861">
                  <c:v>2755.93</c:v>
                </c:pt>
                <c:pt idx="862">
                  <c:v>2753.39</c:v>
                </c:pt>
                <c:pt idx="863">
                  <c:v>2774.2</c:v>
                </c:pt>
                <c:pt idx="864">
                  <c:v>2766.98</c:v>
                </c:pt>
                <c:pt idx="865">
                  <c:v>2777.99</c:v>
                </c:pt>
                <c:pt idx="866">
                  <c:v>2783.22</c:v>
                </c:pt>
                <c:pt idx="867">
                  <c:v>2829.98</c:v>
                </c:pt>
                <c:pt idx="868">
                  <c:v>2827.19</c:v>
                </c:pt>
                <c:pt idx="869">
                  <c:v>2827.69</c:v>
                </c:pt>
                <c:pt idx="870">
                  <c:v>2910.21</c:v>
                </c:pt>
                <c:pt idx="871">
                  <c:v>2887.1</c:v>
                </c:pt>
                <c:pt idx="872">
                  <c:v>2892.63</c:v>
                </c:pt>
                <c:pt idx="873">
                  <c:v>2944.68</c:v>
                </c:pt>
                <c:pt idx="874">
                  <c:v>2921.32</c:v>
                </c:pt>
                <c:pt idx="875">
                  <c:v>2855.73</c:v>
                </c:pt>
                <c:pt idx="876">
                  <c:v>2862.1</c:v>
                </c:pt>
                <c:pt idx="877">
                  <c:v>2864.44</c:v>
                </c:pt>
                <c:pt idx="878">
                  <c:v>2900.2</c:v>
                </c:pt>
                <c:pt idx="879">
                  <c:v>2965.79</c:v>
                </c:pt>
                <c:pt idx="880">
                  <c:v>3016.54</c:v>
                </c:pt>
                <c:pt idx="881">
                  <c:v>2938.85</c:v>
                </c:pt>
                <c:pt idx="882">
                  <c:v>2937.25</c:v>
                </c:pt>
                <c:pt idx="883">
                  <c:v>2974.26</c:v>
                </c:pt>
                <c:pt idx="884">
                  <c:v>2954.49</c:v>
                </c:pt>
                <c:pt idx="885">
                  <c:v>2946.57</c:v>
                </c:pt>
                <c:pt idx="886">
                  <c:v>2912.15</c:v>
                </c:pt>
                <c:pt idx="887">
                  <c:v>2881.88</c:v>
                </c:pt>
                <c:pt idx="888">
                  <c:v>2837.45</c:v>
                </c:pt>
                <c:pt idx="889">
                  <c:v>2822.16</c:v>
                </c:pt>
                <c:pt idx="890">
                  <c:v>2807.62</c:v>
                </c:pt>
                <c:pt idx="891">
                  <c:v>2757.97</c:v>
                </c:pt>
                <c:pt idx="892">
                  <c:v>2743.77</c:v>
                </c:pt>
                <c:pt idx="893">
                  <c:v>2772.16</c:v>
                </c:pt>
                <c:pt idx="894">
                  <c:v>2778.04</c:v>
                </c:pt>
                <c:pt idx="895">
                  <c:v>2770.42</c:v>
                </c:pt>
                <c:pt idx="896">
                  <c:v>2770.22</c:v>
                </c:pt>
                <c:pt idx="897">
                  <c:v>2727.79</c:v>
                </c:pt>
                <c:pt idx="898">
                  <c:v>2706.32</c:v>
                </c:pt>
                <c:pt idx="899">
                  <c:v>2682.87</c:v>
                </c:pt>
                <c:pt idx="900">
                  <c:v>2671.06</c:v>
                </c:pt>
                <c:pt idx="901">
                  <c:v>2648.75</c:v>
                </c:pt>
                <c:pt idx="902">
                  <c:v>2495.17</c:v>
                </c:pt>
                <c:pt idx="903">
                  <c:v>2518.02</c:v>
                </c:pt>
                <c:pt idx="904">
                  <c:v>2565.58</c:v>
                </c:pt>
                <c:pt idx="905">
                  <c:v>2537.5500000000002</c:v>
                </c:pt>
                <c:pt idx="906">
                  <c:v>2544.8200000000002</c:v>
                </c:pt>
                <c:pt idx="907">
                  <c:v>2518.2199999999998</c:v>
                </c:pt>
                <c:pt idx="908">
                  <c:v>2527.44</c:v>
                </c:pt>
                <c:pt idx="909">
                  <c:v>2514.79</c:v>
                </c:pt>
                <c:pt idx="910">
                  <c:v>2511.35</c:v>
                </c:pt>
                <c:pt idx="911">
                  <c:v>2500.6999999999998</c:v>
                </c:pt>
                <c:pt idx="912">
                  <c:v>2475.5</c:v>
                </c:pt>
                <c:pt idx="913">
                  <c:v>2507.6999999999998</c:v>
                </c:pt>
                <c:pt idx="914">
                  <c:v>2491.0500000000002</c:v>
                </c:pt>
                <c:pt idx="915">
                  <c:v>2461.5</c:v>
                </c:pt>
                <c:pt idx="916">
                  <c:v>2464.9499999999998</c:v>
                </c:pt>
                <c:pt idx="917">
                  <c:v>2389.1999999999998</c:v>
                </c:pt>
                <c:pt idx="918">
                  <c:v>2422.9</c:v>
                </c:pt>
                <c:pt idx="919">
                  <c:v>2410.35</c:v>
                </c:pt>
                <c:pt idx="920">
                  <c:v>2382.8000000000002</c:v>
                </c:pt>
                <c:pt idx="921">
                  <c:v>2445.25</c:v>
                </c:pt>
                <c:pt idx="922">
                  <c:v>2471.4499999999998</c:v>
                </c:pt>
                <c:pt idx="923">
                  <c:v>2479.1999999999998</c:v>
                </c:pt>
                <c:pt idx="924">
                  <c:v>2486.9</c:v>
                </c:pt>
                <c:pt idx="925">
                  <c:v>2462.1999999999998</c:v>
                </c:pt>
                <c:pt idx="926">
                  <c:v>2496.15</c:v>
                </c:pt>
                <c:pt idx="927">
                  <c:v>2479.15</c:v>
                </c:pt>
                <c:pt idx="928">
                  <c:v>2482.85</c:v>
                </c:pt>
                <c:pt idx="929">
                  <c:v>2464.5</c:v>
                </c:pt>
                <c:pt idx="930">
                  <c:v>2494.6</c:v>
                </c:pt>
                <c:pt idx="931">
                  <c:v>2483.8000000000002</c:v>
                </c:pt>
                <c:pt idx="932">
                  <c:v>2400.75</c:v>
                </c:pt>
                <c:pt idx="933">
                  <c:v>2397.35</c:v>
                </c:pt>
                <c:pt idx="934">
                  <c:v>2401.35</c:v>
                </c:pt>
                <c:pt idx="935">
                  <c:v>2344.9499999999998</c:v>
                </c:pt>
                <c:pt idx="936">
                  <c:v>2390.1</c:v>
                </c:pt>
                <c:pt idx="937">
                  <c:v>2366.15</c:v>
                </c:pt>
                <c:pt idx="938">
                  <c:v>2363.25</c:v>
                </c:pt>
                <c:pt idx="939">
                  <c:v>2359.1999999999998</c:v>
                </c:pt>
                <c:pt idx="940">
                  <c:v>2359.85</c:v>
                </c:pt>
                <c:pt idx="941">
                  <c:v>2333.9</c:v>
                </c:pt>
                <c:pt idx="942">
                  <c:v>2338.9</c:v>
                </c:pt>
                <c:pt idx="943">
                  <c:v>2335.5500000000002</c:v>
                </c:pt>
                <c:pt idx="944">
                  <c:v>2332.75</c:v>
                </c:pt>
                <c:pt idx="945">
                  <c:v>2341.25</c:v>
                </c:pt>
                <c:pt idx="946">
                  <c:v>2343.5</c:v>
                </c:pt>
                <c:pt idx="947">
                  <c:v>2326.85</c:v>
                </c:pt>
                <c:pt idx="948">
                  <c:v>2322.1</c:v>
                </c:pt>
                <c:pt idx="949">
                  <c:v>2370</c:v>
                </c:pt>
                <c:pt idx="950">
                  <c:v>2406.25</c:v>
                </c:pt>
                <c:pt idx="951">
                  <c:v>2376.1999999999998</c:v>
                </c:pt>
                <c:pt idx="952">
                  <c:v>2390.8000000000002</c:v>
                </c:pt>
                <c:pt idx="953">
                  <c:v>2401</c:v>
                </c:pt>
                <c:pt idx="954">
                  <c:v>2435.4</c:v>
                </c:pt>
                <c:pt idx="955">
                  <c:v>2442.0500000000002</c:v>
                </c:pt>
                <c:pt idx="956">
                  <c:v>2451</c:v>
                </c:pt>
                <c:pt idx="957">
                  <c:v>2367.9499999999998</c:v>
                </c:pt>
                <c:pt idx="958">
                  <c:v>2373</c:v>
                </c:pt>
                <c:pt idx="959">
                  <c:v>2345</c:v>
                </c:pt>
                <c:pt idx="960">
                  <c:v>2354</c:v>
                </c:pt>
                <c:pt idx="961">
                  <c:v>2345.1999999999998</c:v>
                </c:pt>
                <c:pt idx="962">
                  <c:v>2340.5</c:v>
                </c:pt>
                <c:pt idx="963">
                  <c:v>2342.9499999999998</c:v>
                </c:pt>
                <c:pt idx="964">
                  <c:v>2321.6999999999998</c:v>
                </c:pt>
                <c:pt idx="965">
                  <c:v>2368.1</c:v>
                </c:pt>
                <c:pt idx="966">
                  <c:v>2392.85</c:v>
                </c:pt>
                <c:pt idx="967">
                  <c:v>2388.85</c:v>
                </c:pt>
                <c:pt idx="968">
                  <c:v>2383.9499999999998</c:v>
                </c:pt>
                <c:pt idx="969">
                  <c:v>2408.75</c:v>
                </c:pt>
                <c:pt idx="970">
                  <c:v>2468.8000000000002</c:v>
                </c:pt>
                <c:pt idx="971">
                  <c:v>2506.0500000000002</c:v>
                </c:pt>
                <c:pt idx="972">
                  <c:v>2441.9499999999998</c:v>
                </c:pt>
                <c:pt idx="973">
                  <c:v>2438.0500000000002</c:v>
                </c:pt>
                <c:pt idx="974">
                  <c:v>2391.0500000000002</c:v>
                </c:pt>
                <c:pt idx="975">
                  <c:v>2372.6999999999998</c:v>
                </c:pt>
                <c:pt idx="976">
                  <c:v>2363.85</c:v>
                </c:pt>
                <c:pt idx="977">
                  <c:v>2361.4499999999998</c:v>
                </c:pt>
                <c:pt idx="978">
                  <c:v>2315.25</c:v>
                </c:pt>
                <c:pt idx="979">
                  <c:v>2332.5</c:v>
                </c:pt>
                <c:pt idx="980">
                  <c:v>2321.5</c:v>
                </c:pt>
                <c:pt idx="981">
                  <c:v>2318.35</c:v>
                </c:pt>
                <c:pt idx="982">
                  <c:v>2329.4</c:v>
                </c:pt>
                <c:pt idx="983">
                  <c:v>2296</c:v>
                </c:pt>
                <c:pt idx="984">
                  <c:v>2250.4</c:v>
                </c:pt>
                <c:pt idx="985">
                  <c:v>2248.0500000000002</c:v>
                </c:pt>
                <c:pt idx="986">
                  <c:v>2241.65</c:v>
                </c:pt>
                <c:pt idx="987">
                  <c:v>2241.4499999999998</c:v>
                </c:pt>
                <c:pt idx="988">
                  <c:v>2259.3000000000002</c:v>
                </c:pt>
                <c:pt idx="989">
                  <c:v>2244.9499999999998</c:v>
                </c:pt>
                <c:pt idx="990">
                  <c:v>2190.25</c:v>
                </c:pt>
                <c:pt idx="991">
                  <c:v>2176.85</c:v>
                </c:pt>
                <c:pt idx="992">
                  <c:v>2157.35</c:v>
                </c:pt>
                <c:pt idx="993">
                  <c:v>2170.4499999999998</c:v>
                </c:pt>
                <c:pt idx="994">
                  <c:v>2218.9499999999998</c:v>
                </c:pt>
                <c:pt idx="995">
                  <c:v>2204.5500000000002</c:v>
                </c:pt>
                <c:pt idx="996">
                  <c:v>2247.75</c:v>
                </c:pt>
                <c:pt idx="997">
                  <c:v>2216.9499999999998</c:v>
                </c:pt>
                <c:pt idx="998">
                  <c:v>2192.9</c:v>
                </c:pt>
                <c:pt idx="999">
                  <c:v>2174.8000000000002</c:v>
                </c:pt>
                <c:pt idx="1000">
                  <c:v>2171.25</c:v>
                </c:pt>
                <c:pt idx="1001">
                  <c:v>2201.4</c:v>
                </c:pt>
                <c:pt idx="1002">
                  <c:v>2200.0500000000002</c:v>
                </c:pt>
                <c:pt idx="1003">
                  <c:v>2242.4</c:v>
                </c:pt>
                <c:pt idx="1004">
                  <c:v>2246.1999999999998</c:v>
                </c:pt>
                <c:pt idx="1005">
                  <c:v>2256.1999999999998</c:v>
                </c:pt>
                <c:pt idx="1006">
                  <c:v>2271.3000000000002</c:v>
                </c:pt>
                <c:pt idx="1007">
                  <c:v>2245.9499999999998</c:v>
                </c:pt>
                <c:pt idx="1008">
                  <c:v>2244.65</c:v>
                </c:pt>
                <c:pt idx="1009">
                  <c:v>2258.85</c:v>
                </c:pt>
                <c:pt idx="1010">
                  <c:v>2233.85</c:v>
                </c:pt>
                <c:pt idx="1011">
                  <c:v>2237.9</c:v>
                </c:pt>
                <c:pt idx="1012">
                  <c:v>2244.5500000000002</c:v>
                </c:pt>
                <c:pt idx="1013">
                  <c:v>2244.5500000000002</c:v>
                </c:pt>
                <c:pt idx="1014">
                  <c:v>2249.4</c:v>
                </c:pt>
                <c:pt idx="1015">
                  <c:v>2289.25</c:v>
                </c:pt>
                <c:pt idx="1016">
                  <c:v>2350</c:v>
                </c:pt>
                <c:pt idx="1017">
                  <c:v>2366.15</c:v>
                </c:pt>
                <c:pt idx="1018">
                  <c:v>2361.5</c:v>
                </c:pt>
                <c:pt idx="1019">
                  <c:v>2366.6</c:v>
                </c:pt>
                <c:pt idx="1020">
                  <c:v>2375</c:v>
                </c:pt>
                <c:pt idx="1021">
                  <c:v>2351</c:v>
                </c:pt>
                <c:pt idx="1022">
                  <c:v>2398.6999999999998</c:v>
                </c:pt>
                <c:pt idx="1023">
                  <c:v>2423.8000000000002</c:v>
                </c:pt>
                <c:pt idx="1024">
                  <c:v>2325.3000000000002</c:v>
                </c:pt>
                <c:pt idx="1025">
                  <c:v>2332.1999999999998</c:v>
                </c:pt>
                <c:pt idx="1026">
                  <c:v>2318.6</c:v>
                </c:pt>
                <c:pt idx="1027">
                  <c:v>2321.6999999999998</c:v>
                </c:pt>
                <c:pt idx="1028">
                  <c:v>2342.1</c:v>
                </c:pt>
                <c:pt idx="1029">
                  <c:v>2323.9</c:v>
                </c:pt>
                <c:pt idx="1030">
                  <c:v>2348.6</c:v>
                </c:pt>
                <c:pt idx="1031">
                  <c:v>2381.8000000000002</c:v>
                </c:pt>
                <c:pt idx="1032">
                  <c:v>2370.8000000000002</c:v>
                </c:pt>
                <c:pt idx="1033">
                  <c:v>2354.9</c:v>
                </c:pt>
                <c:pt idx="1034">
                  <c:v>2332.9</c:v>
                </c:pt>
                <c:pt idx="1035">
                  <c:v>2382.5</c:v>
                </c:pt>
                <c:pt idx="1036">
                  <c:v>2360</c:v>
                </c:pt>
                <c:pt idx="1037">
                  <c:v>2350.5</c:v>
                </c:pt>
                <c:pt idx="1038">
                  <c:v>2355.1999999999998</c:v>
                </c:pt>
                <c:pt idx="1039">
                  <c:v>2381.4</c:v>
                </c:pt>
                <c:pt idx="1040">
                  <c:v>2382.6999999999998</c:v>
                </c:pt>
                <c:pt idx="1041">
                  <c:v>2341.1</c:v>
                </c:pt>
                <c:pt idx="1042">
                  <c:v>2363.9</c:v>
                </c:pt>
                <c:pt idx="1043">
                  <c:v>2330.6999999999998</c:v>
                </c:pt>
                <c:pt idx="1044">
                  <c:v>2359.1999999999998</c:v>
                </c:pt>
                <c:pt idx="1045">
                  <c:v>2394.1</c:v>
                </c:pt>
                <c:pt idx="1046">
                  <c:v>2380.1999999999998</c:v>
                </c:pt>
                <c:pt idx="1047">
                  <c:v>2362</c:v>
                </c:pt>
                <c:pt idx="1048">
                  <c:v>2366.6999999999998</c:v>
                </c:pt>
                <c:pt idx="1049">
                  <c:v>2348.3000000000002</c:v>
                </c:pt>
                <c:pt idx="1050">
                  <c:v>2371.6</c:v>
                </c:pt>
                <c:pt idx="1051">
                  <c:v>2352.3000000000002</c:v>
                </c:pt>
                <c:pt idx="1052">
                  <c:v>2364.5</c:v>
                </c:pt>
                <c:pt idx="1053">
                  <c:v>2376.4</c:v>
                </c:pt>
                <c:pt idx="1054">
                  <c:v>2389.8000000000002</c:v>
                </c:pt>
                <c:pt idx="1055">
                  <c:v>2393.1999999999998</c:v>
                </c:pt>
                <c:pt idx="1056">
                  <c:v>2395.1999999999998</c:v>
                </c:pt>
                <c:pt idx="1057">
                  <c:v>2376.4</c:v>
                </c:pt>
                <c:pt idx="1058">
                  <c:v>2332.6999999999998</c:v>
                </c:pt>
                <c:pt idx="1059">
                  <c:v>2319</c:v>
                </c:pt>
                <c:pt idx="1060">
                  <c:v>2327.4</c:v>
                </c:pt>
                <c:pt idx="1061">
                  <c:v>2328.6</c:v>
                </c:pt>
                <c:pt idx="1062">
                  <c:v>2297.3000000000002</c:v>
                </c:pt>
                <c:pt idx="1063">
                  <c:v>2294.1999999999998</c:v>
                </c:pt>
                <c:pt idx="1064">
                  <c:v>2306.1999999999998</c:v>
                </c:pt>
                <c:pt idx="1065">
                  <c:v>2275.1</c:v>
                </c:pt>
                <c:pt idx="1066">
                  <c:v>2263.1</c:v>
                </c:pt>
                <c:pt idx="1067">
                  <c:v>2278.6999999999998</c:v>
                </c:pt>
                <c:pt idx="1068">
                  <c:v>2280.8000000000002</c:v>
                </c:pt>
                <c:pt idx="1069">
                  <c:v>2306.9</c:v>
                </c:pt>
                <c:pt idx="1070">
                  <c:v>2294.6</c:v>
                </c:pt>
                <c:pt idx="1071">
                  <c:v>2295.5</c:v>
                </c:pt>
                <c:pt idx="1072">
                  <c:v>2307.1</c:v>
                </c:pt>
                <c:pt idx="1073">
                  <c:v>2313.4</c:v>
                </c:pt>
                <c:pt idx="1074">
                  <c:v>2339.3000000000002</c:v>
                </c:pt>
                <c:pt idx="1075">
                  <c:v>2410.4</c:v>
                </c:pt>
                <c:pt idx="1076">
                  <c:v>2392.6999999999998</c:v>
                </c:pt>
                <c:pt idx="1077">
                  <c:v>2423.4</c:v>
                </c:pt>
                <c:pt idx="1078">
                  <c:v>2408.4</c:v>
                </c:pt>
                <c:pt idx="1079">
                  <c:v>2519.6</c:v>
                </c:pt>
                <c:pt idx="1080">
                  <c:v>2516.6</c:v>
                </c:pt>
                <c:pt idx="1081">
                  <c:v>2526.9</c:v>
                </c:pt>
                <c:pt idx="1082">
                  <c:v>2517.6</c:v>
                </c:pt>
                <c:pt idx="1083">
                  <c:v>2509.8000000000002</c:v>
                </c:pt>
                <c:pt idx="1084">
                  <c:v>2489.6</c:v>
                </c:pt>
                <c:pt idx="1085">
                  <c:v>2464.9</c:v>
                </c:pt>
                <c:pt idx="1086">
                  <c:v>2479.6999999999998</c:v>
                </c:pt>
                <c:pt idx="1087">
                  <c:v>2450.4</c:v>
                </c:pt>
                <c:pt idx="1088">
                  <c:v>2437.8000000000002</c:v>
                </c:pt>
                <c:pt idx="1089">
                  <c:v>2415.4</c:v>
                </c:pt>
                <c:pt idx="1090">
                  <c:v>2441.6</c:v>
                </c:pt>
                <c:pt idx="1091">
                  <c:v>2453.6</c:v>
                </c:pt>
                <c:pt idx="1092">
                  <c:v>2437.4</c:v>
                </c:pt>
                <c:pt idx="1093">
                  <c:v>2521.1999999999998</c:v>
                </c:pt>
                <c:pt idx="1094">
                  <c:v>2553.6999999999998</c:v>
                </c:pt>
                <c:pt idx="1095">
                  <c:v>2543.6999999999998</c:v>
                </c:pt>
                <c:pt idx="1096">
                  <c:v>2534.6999999999998</c:v>
                </c:pt>
                <c:pt idx="1097">
                  <c:v>2535.6</c:v>
                </c:pt>
                <c:pt idx="1098">
                  <c:v>2517.5</c:v>
                </c:pt>
                <c:pt idx="1099">
                  <c:v>2498.6</c:v>
                </c:pt>
                <c:pt idx="1100">
                  <c:v>2518.4</c:v>
                </c:pt>
                <c:pt idx="1101">
                  <c:v>2483.8000000000002</c:v>
                </c:pt>
                <c:pt idx="1102">
                  <c:v>2495.1</c:v>
                </c:pt>
                <c:pt idx="1103">
                  <c:v>2480.6</c:v>
                </c:pt>
                <c:pt idx="1104">
                  <c:v>2568.1</c:v>
                </c:pt>
                <c:pt idx="1105">
                  <c:v>2604.8000000000002</c:v>
                </c:pt>
                <c:pt idx="1106">
                  <c:v>2669.8</c:v>
                </c:pt>
                <c:pt idx="1107">
                  <c:v>2648</c:v>
                </c:pt>
                <c:pt idx="1108">
                  <c:v>2629.9</c:v>
                </c:pt>
                <c:pt idx="1109">
                  <c:v>2631.6</c:v>
                </c:pt>
                <c:pt idx="1110">
                  <c:v>2692.6</c:v>
                </c:pt>
                <c:pt idx="1111">
                  <c:v>2654.4</c:v>
                </c:pt>
                <c:pt idx="1112">
                  <c:v>2659.8</c:v>
                </c:pt>
                <c:pt idx="1113">
                  <c:v>2649.5</c:v>
                </c:pt>
                <c:pt idx="1114">
                  <c:v>2677</c:v>
                </c:pt>
                <c:pt idx="1115">
                  <c:v>2664.7</c:v>
                </c:pt>
                <c:pt idx="1116">
                  <c:v>2666.6</c:v>
                </c:pt>
                <c:pt idx="1117">
                  <c:v>2633.4</c:v>
                </c:pt>
                <c:pt idx="1118">
                  <c:v>2623.9</c:v>
                </c:pt>
                <c:pt idx="1119">
                  <c:v>2642</c:v>
                </c:pt>
                <c:pt idx="1120">
                  <c:v>2643.5</c:v>
                </c:pt>
                <c:pt idx="1121">
                  <c:v>2622</c:v>
                </c:pt>
                <c:pt idx="1122">
                  <c:v>2580.5</c:v>
                </c:pt>
                <c:pt idx="1123">
                  <c:v>2581</c:v>
                </c:pt>
                <c:pt idx="1124">
                  <c:v>2580.9</c:v>
                </c:pt>
                <c:pt idx="1125">
                  <c:v>2569.6999999999998</c:v>
                </c:pt>
                <c:pt idx="1126">
                  <c:v>2586.8000000000002</c:v>
                </c:pt>
                <c:pt idx="1127">
                  <c:v>2559.6</c:v>
                </c:pt>
                <c:pt idx="1128">
                  <c:v>2572.1999999999998</c:v>
                </c:pt>
                <c:pt idx="1129">
                  <c:v>2522.1999999999998</c:v>
                </c:pt>
                <c:pt idx="1130">
                  <c:v>2549.5</c:v>
                </c:pt>
                <c:pt idx="1131">
                  <c:v>2538.3000000000002</c:v>
                </c:pt>
                <c:pt idx="1132">
                  <c:v>2511.8000000000002</c:v>
                </c:pt>
                <c:pt idx="1133">
                  <c:v>2497.9</c:v>
                </c:pt>
                <c:pt idx="1134">
                  <c:v>2514.4</c:v>
                </c:pt>
                <c:pt idx="1135">
                  <c:v>2536.1999999999998</c:v>
                </c:pt>
                <c:pt idx="1136">
                  <c:v>2544.9</c:v>
                </c:pt>
                <c:pt idx="1137">
                  <c:v>2541.8000000000002</c:v>
                </c:pt>
                <c:pt idx="1138">
                  <c:v>2517.1999999999998</c:v>
                </c:pt>
                <c:pt idx="1139">
                  <c:v>2500.1</c:v>
                </c:pt>
                <c:pt idx="1140">
                  <c:v>2517.6</c:v>
                </c:pt>
                <c:pt idx="1141">
                  <c:v>2528.9</c:v>
                </c:pt>
                <c:pt idx="1142">
                  <c:v>2492.8000000000002</c:v>
                </c:pt>
                <c:pt idx="1143">
                  <c:v>2502.3000000000002</c:v>
                </c:pt>
                <c:pt idx="1144">
                  <c:v>2519</c:v>
                </c:pt>
                <c:pt idx="1145">
                  <c:v>2561.5</c:v>
                </c:pt>
                <c:pt idx="1146">
                  <c:v>2603.6999999999998</c:v>
                </c:pt>
                <c:pt idx="1147">
                  <c:v>2594.4</c:v>
                </c:pt>
                <c:pt idx="1148">
                  <c:v>2591.6999999999998</c:v>
                </c:pt>
                <c:pt idx="1149">
                  <c:v>2601.6</c:v>
                </c:pt>
                <c:pt idx="1150">
                  <c:v>2516.4</c:v>
                </c:pt>
                <c:pt idx="1151">
                  <c:v>2511.8000000000002</c:v>
                </c:pt>
                <c:pt idx="1152">
                  <c:v>2497.1</c:v>
                </c:pt>
                <c:pt idx="1153">
                  <c:v>2488.1</c:v>
                </c:pt>
                <c:pt idx="1154">
                  <c:v>2469.6</c:v>
                </c:pt>
                <c:pt idx="1155">
                  <c:v>2465.5</c:v>
                </c:pt>
                <c:pt idx="1156">
                  <c:v>2460</c:v>
                </c:pt>
                <c:pt idx="1157">
                  <c:v>2445.6999999999998</c:v>
                </c:pt>
                <c:pt idx="1158">
                  <c:v>2436</c:v>
                </c:pt>
                <c:pt idx="1159">
                  <c:v>2414</c:v>
                </c:pt>
                <c:pt idx="1160">
                  <c:v>2408.8000000000002</c:v>
                </c:pt>
                <c:pt idx="1161">
                  <c:v>2427.5</c:v>
                </c:pt>
                <c:pt idx="1162">
                  <c:v>2424.5</c:v>
                </c:pt>
                <c:pt idx="1163">
                  <c:v>2407.6</c:v>
                </c:pt>
                <c:pt idx="1164">
                  <c:v>2427.6999999999998</c:v>
                </c:pt>
                <c:pt idx="1165">
                  <c:v>2425</c:v>
                </c:pt>
                <c:pt idx="1166">
                  <c:v>2404</c:v>
                </c:pt>
                <c:pt idx="1167">
                  <c:v>2441.6</c:v>
                </c:pt>
                <c:pt idx="1168">
                  <c:v>2428.4</c:v>
                </c:pt>
                <c:pt idx="1169">
                  <c:v>2433.6999999999998</c:v>
                </c:pt>
                <c:pt idx="1170">
                  <c:v>2424.1999999999998</c:v>
                </c:pt>
                <c:pt idx="1171">
                  <c:v>2414.1</c:v>
                </c:pt>
                <c:pt idx="1172">
                  <c:v>2425.1999999999998</c:v>
                </c:pt>
                <c:pt idx="1173">
                  <c:v>2451.6999999999998</c:v>
                </c:pt>
                <c:pt idx="1174">
                  <c:v>2426.33</c:v>
                </c:pt>
                <c:pt idx="1175">
                  <c:v>2424.2600000000002</c:v>
                </c:pt>
                <c:pt idx="1176">
                  <c:v>2437.34</c:v>
                </c:pt>
                <c:pt idx="1177">
                  <c:v>2408.0300000000002</c:v>
                </c:pt>
                <c:pt idx="1178">
                  <c:v>2422</c:v>
                </c:pt>
                <c:pt idx="1179">
                  <c:v>2338.6</c:v>
                </c:pt>
                <c:pt idx="1180">
                  <c:v>2314</c:v>
                </c:pt>
                <c:pt idx="1181">
                  <c:v>2306.5</c:v>
                </c:pt>
                <c:pt idx="1182">
                  <c:v>2301.6999999999998</c:v>
                </c:pt>
                <c:pt idx="1183">
                  <c:v>2305.6</c:v>
                </c:pt>
                <c:pt idx="1184">
                  <c:v>2260.6</c:v>
                </c:pt>
                <c:pt idx="1185">
                  <c:v>2293.5</c:v>
                </c:pt>
                <c:pt idx="1186">
                  <c:v>2281.1</c:v>
                </c:pt>
                <c:pt idx="1187">
                  <c:v>2275.6</c:v>
                </c:pt>
                <c:pt idx="1188">
                  <c:v>2265.5</c:v>
                </c:pt>
                <c:pt idx="1189">
                  <c:v>2280</c:v>
                </c:pt>
                <c:pt idx="1190">
                  <c:v>2289.5</c:v>
                </c:pt>
                <c:pt idx="1191">
                  <c:v>2302.6</c:v>
                </c:pt>
                <c:pt idx="1192">
                  <c:v>2282.1999999999998</c:v>
                </c:pt>
                <c:pt idx="1193">
                  <c:v>2285.4</c:v>
                </c:pt>
                <c:pt idx="1194">
                  <c:v>2293.3000000000002</c:v>
                </c:pt>
                <c:pt idx="1195">
                  <c:v>2290.1999999999998</c:v>
                </c:pt>
                <c:pt idx="1196">
                  <c:v>2315.9</c:v>
                </c:pt>
                <c:pt idx="1197">
                  <c:v>2323</c:v>
                </c:pt>
                <c:pt idx="1198">
                  <c:v>2348</c:v>
                </c:pt>
                <c:pt idx="1199">
                  <c:v>2384.1</c:v>
                </c:pt>
                <c:pt idx="1200">
                  <c:v>2424.6999999999998</c:v>
                </c:pt>
                <c:pt idx="1201">
                  <c:v>2399.4</c:v>
                </c:pt>
                <c:pt idx="1202">
                  <c:v>2386.6999999999998</c:v>
                </c:pt>
                <c:pt idx="1203">
                  <c:v>2372.6</c:v>
                </c:pt>
                <c:pt idx="1204">
                  <c:v>2406.1999999999998</c:v>
                </c:pt>
                <c:pt idx="1205">
                  <c:v>2389.5</c:v>
                </c:pt>
                <c:pt idx="1206">
                  <c:v>2353.5</c:v>
                </c:pt>
                <c:pt idx="1207">
                  <c:v>2360.4</c:v>
                </c:pt>
                <c:pt idx="1208">
                  <c:v>2413.9</c:v>
                </c:pt>
                <c:pt idx="1209">
                  <c:v>2379.1</c:v>
                </c:pt>
                <c:pt idx="1210">
                  <c:v>2368</c:v>
                </c:pt>
                <c:pt idx="1211">
                  <c:v>2390.6</c:v>
                </c:pt>
                <c:pt idx="1212">
                  <c:v>2409.5</c:v>
                </c:pt>
                <c:pt idx="1213">
                  <c:v>2400.9</c:v>
                </c:pt>
                <c:pt idx="1214">
                  <c:v>2378.4</c:v>
                </c:pt>
                <c:pt idx="1215">
                  <c:v>2352.6</c:v>
                </c:pt>
                <c:pt idx="1216">
                  <c:v>2373</c:v>
                </c:pt>
                <c:pt idx="1217">
                  <c:v>2350.6999999999998</c:v>
                </c:pt>
                <c:pt idx="1218">
                  <c:v>2357.3000000000002</c:v>
                </c:pt>
                <c:pt idx="1219">
                  <c:v>2368.6</c:v>
                </c:pt>
                <c:pt idx="1220">
                  <c:v>2371</c:v>
                </c:pt>
                <c:pt idx="1221">
                  <c:v>2354.4</c:v>
                </c:pt>
                <c:pt idx="1222">
                  <c:v>2424.1999999999998</c:v>
                </c:pt>
                <c:pt idx="1223">
                  <c:v>2435</c:v>
                </c:pt>
                <c:pt idx="1224">
                  <c:v>2453.6</c:v>
                </c:pt>
                <c:pt idx="1225">
                  <c:v>2462.9</c:v>
                </c:pt>
                <c:pt idx="1226">
                  <c:v>2409.6999999999998</c:v>
                </c:pt>
                <c:pt idx="1227">
                  <c:v>2305.1999999999998</c:v>
                </c:pt>
                <c:pt idx="1228">
                  <c:v>2319</c:v>
                </c:pt>
                <c:pt idx="1229">
                  <c:v>2312.3000000000002</c:v>
                </c:pt>
                <c:pt idx="1230">
                  <c:v>2323.5</c:v>
                </c:pt>
                <c:pt idx="1231">
                  <c:v>2279.3000000000002</c:v>
                </c:pt>
                <c:pt idx="1232">
                  <c:v>2314.5</c:v>
                </c:pt>
                <c:pt idx="1233">
                  <c:v>2345.4</c:v>
                </c:pt>
                <c:pt idx="1234">
                  <c:v>2358.6</c:v>
                </c:pt>
                <c:pt idx="1235">
                  <c:v>2374.9</c:v>
                </c:pt>
                <c:pt idx="1236">
                  <c:v>2383.3000000000002</c:v>
                </c:pt>
                <c:pt idx="1237">
                  <c:v>2338.1</c:v>
                </c:pt>
                <c:pt idx="1238">
                  <c:v>2320.6</c:v>
                </c:pt>
                <c:pt idx="1239">
                  <c:v>2261.3000000000002</c:v>
                </c:pt>
              </c:numCache>
            </c:numRef>
          </c:val>
        </c:ser>
        <c:marker val="1"/>
        <c:axId val="110855680"/>
        <c:axId val="110857216"/>
      </c:lineChart>
      <c:dateAx>
        <c:axId val="110855680"/>
        <c:scaling>
          <c:orientation val="minMax"/>
        </c:scaling>
        <c:axPos val="b"/>
        <c:numFmt formatCode="mmm/yyyy" sourceLinked="0"/>
        <c:majorTickMark val="none"/>
        <c:tickLblPos val="nextTo"/>
        <c:spPr>
          <a:noFill/>
        </c:spPr>
        <c:crossAx val="110857216"/>
        <c:crosses val="autoZero"/>
        <c:auto val="1"/>
        <c:lblOffset val="100"/>
        <c:baseTimeUnit val="months"/>
        <c:majorUnit val="6"/>
        <c:majorTimeUnit val="months"/>
      </c:dateAx>
      <c:valAx>
        <c:axId val="110857216"/>
        <c:scaling>
          <c:orientation val="minMax"/>
          <c:min val="100"/>
        </c:scaling>
        <c:axPos val="l"/>
        <c:numFmt formatCode="#,##0.00" sourceLinked="1"/>
        <c:majorTickMark val="none"/>
        <c:tickLblPos val="nextTo"/>
        <c:crossAx val="110855680"/>
        <c:crosses val="autoZero"/>
        <c:crossBetween val="midCat"/>
      </c:valAx>
      <c:spPr>
        <a:noFill/>
      </c:spPr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chart>
    <c:autoTitleDeleted val="1"/>
    <c:plotArea>
      <c:layout>
        <c:manualLayout>
          <c:layoutTarget val="inner"/>
          <c:xMode val="edge"/>
          <c:yMode val="edge"/>
          <c:x val="0.19462170415507363"/>
          <c:y val="7.8606368894153719E-2"/>
          <c:w val="0.72108674572554832"/>
          <c:h val="0.71302210654630538"/>
        </c:manualLayout>
      </c:layout>
      <c:lineChart>
        <c:grouping val="standard"/>
        <c:ser>
          <c:idx val="0"/>
          <c:order val="0"/>
          <c:tx>
            <c:strRef>
              <c:f>'Raw Data'!$O$2</c:f>
              <c:strCache>
                <c:ptCount val="1"/>
                <c:pt idx="0">
                  <c:v>Price</c:v>
                </c:pt>
              </c:strCache>
            </c:strRef>
          </c:tx>
          <c:marker>
            <c:symbol val="none"/>
          </c:marker>
          <c:cat>
            <c:numRef>
              <c:f>'Raw Data'!$B$3:$B$1242</c:f>
              <c:numCache>
                <c:formatCode>dd/mm/yyyy</c:formatCode>
                <c:ptCount val="1240"/>
                <c:pt idx="0">
                  <c:v>44259</c:v>
                </c:pt>
                <c:pt idx="1">
                  <c:v>44260</c:v>
                </c:pt>
                <c:pt idx="2">
                  <c:v>44263</c:v>
                </c:pt>
                <c:pt idx="3">
                  <c:v>44264</c:v>
                </c:pt>
                <c:pt idx="4">
                  <c:v>44265</c:v>
                </c:pt>
                <c:pt idx="5">
                  <c:v>44267</c:v>
                </c:pt>
                <c:pt idx="6">
                  <c:v>44270</c:v>
                </c:pt>
                <c:pt idx="7">
                  <c:v>44271</c:v>
                </c:pt>
                <c:pt idx="8">
                  <c:v>44272</c:v>
                </c:pt>
                <c:pt idx="9">
                  <c:v>44273</c:v>
                </c:pt>
                <c:pt idx="10">
                  <c:v>44274</c:v>
                </c:pt>
                <c:pt idx="11">
                  <c:v>44277</c:v>
                </c:pt>
                <c:pt idx="12">
                  <c:v>44278</c:v>
                </c:pt>
                <c:pt idx="13">
                  <c:v>44279</c:v>
                </c:pt>
                <c:pt idx="14">
                  <c:v>44280</c:v>
                </c:pt>
                <c:pt idx="15">
                  <c:v>44281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44291</c:v>
                </c:pt>
                <c:pt idx="20">
                  <c:v>44292</c:v>
                </c:pt>
                <c:pt idx="21">
                  <c:v>44293</c:v>
                </c:pt>
                <c:pt idx="22">
                  <c:v>44294</c:v>
                </c:pt>
                <c:pt idx="23">
                  <c:v>44295</c:v>
                </c:pt>
                <c:pt idx="24">
                  <c:v>44298</c:v>
                </c:pt>
                <c:pt idx="25">
                  <c:v>44299</c:v>
                </c:pt>
                <c:pt idx="26">
                  <c:v>44301</c:v>
                </c:pt>
                <c:pt idx="27">
                  <c:v>44302</c:v>
                </c:pt>
                <c:pt idx="28">
                  <c:v>44305</c:v>
                </c:pt>
                <c:pt idx="29">
                  <c:v>44306</c:v>
                </c:pt>
                <c:pt idx="30">
                  <c:v>44308</c:v>
                </c:pt>
                <c:pt idx="31">
                  <c:v>44309</c:v>
                </c:pt>
                <c:pt idx="32">
                  <c:v>44312</c:v>
                </c:pt>
                <c:pt idx="33">
                  <c:v>44313</c:v>
                </c:pt>
                <c:pt idx="34">
                  <c:v>44314</c:v>
                </c:pt>
                <c:pt idx="35">
                  <c:v>44315</c:v>
                </c:pt>
                <c:pt idx="36">
                  <c:v>44316</c:v>
                </c:pt>
                <c:pt idx="37">
                  <c:v>44319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44330</c:v>
                </c:pt>
                <c:pt idx="46">
                  <c:v>44333</c:v>
                </c:pt>
                <c:pt idx="47">
                  <c:v>44334</c:v>
                </c:pt>
                <c:pt idx="48">
                  <c:v>44335</c:v>
                </c:pt>
                <c:pt idx="49">
                  <c:v>44336</c:v>
                </c:pt>
                <c:pt idx="50">
                  <c:v>44337</c:v>
                </c:pt>
                <c:pt idx="51">
                  <c:v>44340</c:v>
                </c:pt>
                <c:pt idx="52">
                  <c:v>44341</c:v>
                </c:pt>
                <c:pt idx="53">
                  <c:v>44342</c:v>
                </c:pt>
                <c:pt idx="54">
                  <c:v>44343</c:v>
                </c:pt>
                <c:pt idx="55">
                  <c:v>44344</c:v>
                </c:pt>
                <c:pt idx="56">
                  <c:v>44347</c:v>
                </c:pt>
                <c:pt idx="57">
                  <c:v>44348</c:v>
                </c:pt>
                <c:pt idx="58">
                  <c:v>44349</c:v>
                </c:pt>
                <c:pt idx="59">
                  <c:v>44350</c:v>
                </c:pt>
                <c:pt idx="60">
                  <c:v>44351</c:v>
                </c:pt>
                <c:pt idx="61">
                  <c:v>44354</c:v>
                </c:pt>
                <c:pt idx="62">
                  <c:v>44355</c:v>
                </c:pt>
                <c:pt idx="63">
                  <c:v>44356</c:v>
                </c:pt>
                <c:pt idx="64">
                  <c:v>44357</c:v>
                </c:pt>
                <c:pt idx="65">
                  <c:v>44358</c:v>
                </c:pt>
                <c:pt idx="66">
                  <c:v>44361</c:v>
                </c:pt>
                <c:pt idx="67">
                  <c:v>44362</c:v>
                </c:pt>
                <c:pt idx="68">
                  <c:v>44363</c:v>
                </c:pt>
                <c:pt idx="69">
                  <c:v>44364</c:v>
                </c:pt>
                <c:pt idx="70">
                  <c:v>44365</c:v>
                </c:pt>
                <c:pt idx="71">
                  <c:v>44368</c:v>
                </c:pt>
                <c:pt idx="72">
                  <c:v>44369</c:v>
                </c:pt>
                <c:pt idx="73">
                  <c:v>44370</c:v>
                </c:pt>
                <c:pt idx="74">
                  <c:v>44371</c:v>
                </c:pt>
                <c:pt idx="75">
                  <c:v>44372</c:v>
                </c:pt>
                <c:pt idx="76">
                  <c:v>44375</c:v>
                </c:pt>
                <c:pt idx="77">
                  <c:v>44376</c:v>
                </c:pt>
                <c:pt idx="78">
                  <c:v>44377</c:v>
                </c:pt>
                <c:pt idx="79">
                  <c:v>44378</c:v>
                </c:pt>
                <c:pt idx="80">
                  <c:v>44379</c:v>
                </c:pt>
                <c:pt idx="81">
                  <c:v>44382</c:v>
                </c:pt>
                <c:pt idx="82">
                  <c:v>44383</c:v>
                </c:pt>
                <c:pt idx="83">
                  <c:v>44384</c:v>
                </c:pt>
                <c:pt idx="84">
                  <c:v>44385</c:v>
                </c:pt>
                <c:pt idx="85">
                  <c:v>44386</c:v>
                </c:pt>
                <c:pt idx="86">
                  <c:v>44389</c:v>
                </c:pt>
                <c:pt idx="87">
                  <c:v>44390</c:v>
                </c:pt>
                <c:pt idx="88">
                  <c:v>44391</c:v>
                </c:pt>
                <c:pt idx="89">
                  <c:v>44392</c:v>
                </c:pt>
                <c:pt idx="90">
                  <c:v>44393</c:v>
                </c:pt>
                <c:pt idx="91">
                  <c:v>44396</c:v>
                </c:pt>
                <c:pt idx="92">
                  <c:v>44397</c:v>
                </c:pt>
                <c:pt idx="93">
                  <c:v>44399</c:v>
                </c:pt>
                <c:pt idx="94">
                  <c:v>44400</c:v>
                </c:pt>
                <c:pt idx="95">
                  <c:v>44403</c:v>
                </c:pt>
                <c:pt idx="96">
                  <c:v>44404</c:v>
                </c:pt>
                <c:pt idx="97">
                  <c:v>44405</c:v>
                </c:pt>
                <c:pt idx="98">
                  <c:v>44406</c:v>
                </c:pt>
                <c:pt idx="99">
                  <c:v>44407</c:v>
                </c:pt>
                <c:pt idx="100">
                  <c:v>44410</c:v>
                </c:pt>
                <c:pt idx="101">
                  <c:v>44411</c:v>
                </c:pt>
                <c:pt idx="102">
                  <c:v>44412</c:v>
                </c:pt>
                <c:pt idx="103">
                  <c:v>44413</c:v>
                </c:pt>
                <c:pt idx="104">
                  <c:v>44414</c:v>
                </c:pt>
                <c:pt idx="105">
                  <c:v>44417</c:v>
                </c:pt>
                <c:pt idx="106">
                  <c:v>44418</c:v>
                </c:pt>
                <c:pt idx="107">
                  <c:v>44419</c:v>
                </c:pt>
                <c:pt idx="108">
                  <c:v>44420</c:v>
                </c:pt>
                <c:pt idx="109">
                  <c:v>44421</c:v>
                </c:pt>
                <c:pt idx="110">
                  <c:v>44424</c:v>
                </c:pt>
                <c:pt idx="111">
                  <c:v>44425</c:v>
                </c:pt>
                <c:pt idx="112">
                  <c:v>44426</c:v>
                </c:pt>
                <c:pt idx="113">
                  <c:v>44428</c:v>
                </c:pt>
                <c:pt idx="114">
                  <c:v>44431</c:v>
                </c:pt>
                <c:pt idx="115">
                  <c:v>44432</c:v>
                </c:pt>
                <c:pt idx="116">
                  <c:v>44433</c:v>
                </c:pt>
                <c:pt idx="117">
                  <c:v>44434</c:v>
                </c:pt>
                <c:pt idx="118">
                  <c:v>44435</c:v>
                </c:pt>
                <c:pt idx="119">
                  <c:v>44438</c:v>
                </c:pt>
                <c:pt idx="120">
                  <c:v>44439</c:v>
                </c:pt>
                <c:pt idx="121">
                  <c:v>44440</c:v>
                </c:pt>
                <c:pt idx="122">
                  <c:v>44441</c:v>
                </c:pt>
                <c:pt idx="123">
                  <c:v>44442</c:v>
                </c:pt>
                <c:pt idx="124">
                  <c:v>44445</c:v>
                </c:pt>
                <c:pt idx="125">
                  <c:v>44446</c:v>
                </c:pt>
                <c:pt idx="126">
                  <c:v>44447</c:v>
                </c:pt>
                <c:pt idx="127">
                  <c:v>44448</c:v>
                </c:pt>
                <c:pt idx="128">
                  <c:v>44452</c:v>
                </c:pt>
                <c:pt idx="129">
                  <c:v>44453</c:v>
                </c:pt>
                <c:pt idx="130">
                  <c:v>44454</c:v>
                </c:pt>
                <c:pt idx="131">
                  <c:v>44455</c:v>
                </c:pt>
                <c:pt idx="132">
                  <c:v>44456</c:v>
                </c:pt>
                <c:pt idx="133">
                  <c:v>44459</c:v>
                </c:pt>
                <c:pt idx="134">
                  <c:v>44460</c:v>
                </c:pt>
                <c:pt idx="135">
                  <c:v>44461</c:v>
                </c:pt>
                <c:pt idx="136">
                  <c:v>44462</c:v>
                </c:pt>
                <c:pt idx="137">
                  <c:v>44463</c:v>
                </c:pt>
                <c:pt idx="138">
                  <c:v>44466</c:v>
                </c:pt>
                <c:pt idx="139">
                  <c:v>44467</c:v>
                </c:pt>
                <c:pt idx="140">
                  <c:v>44468</c:v>
                </c:pt>
                <c:pt idx="141">
                  <c:v>44469</c:v>
                </c:pt>
                <c:pt idx="142">
                  <c:v>44470</c:v>
                </c:pt>
                <c:pt idx="143">
                  <c:v>44473</c:v>
                </c:pt>
                <c:pt idx="144">
                  <c:v>44474</c:v>
                </c:pt>
                <c:pt idx="145">
                  <c:v>44475</c:v>
                </c:pt>
                <c:pt idx="146">
                  <c:v>44476</c:v>
                </c:pt>
                <c:pt idx="147">
                  <c:v>44477</c:v>
                </c:pt>
                <c:pt idx="148">
                  <c:v>44480</c:v>
                </c:pt>
                <c:pt idx="149">
                  <c:v>44481</c:v>
                </c:pt>
                <c:pt idx="150">
                  <c:v>44482</c:v>
                </c:pt>
                <c:pt idx="151">
                  <c:v>44483</c:v>
                </c:pt>
                <c:pt idx="152">
                  <c:v>44487</c:v>
                </c:pt>
                <c:pt idx="153">
                  <c:v>44488</c:v>
                </c:pt>
                <c:pt idx="154">
                  <c:v>44489</c:v>
                </c:pt>
                <c:pt idx="155">
                  <c:v>44490</c:v>
                </c:pt>
                <c:pt idx="156">
                  <c:v>44491</c:v>
                </c:pt>
                <c:pt idx="157">
                  <c:v>44494</c:v>
                </c:pt>
                <c:pt idx="158">
                  <c:v>44495</c:v>
                </c:pt>
                <c:pt idx="159">
                  <c:v>44496</c:v>
                </c:pt>
                <c:pt idx="160">
                  <c:v>44497</c:v>
                </c:pt>
                <c:pt idx="161">
                  <c:v>44498</c:v>
                </c:pt>
                <c:pt idx="162">
                  <c:v>44501</c:v>
                </c:pt>
                <c:pt idx="163">
                  <c:v>44502</c:v>
                </c:pt>
                <c:pt idx="164">
                  <c:v>44503</c:v>
                </c:pt>
                <c:pt idx="165">
                  <c:v>44504</c:v>
                </c:pt>
                <c:pt idx="166">
                  <c:v>44508</c:v>
                </c:pt>
                <c:pt idx="167">
                  <c:v>44509</c:v>
                </c:pt>
                <c:pt idx="168">
                  <c:v>44510</c:v>
                </c:pt>
                <c:pt idx="169">
                  <c:v>44511</c:v>
                </c:pt>
                <c:pt idx="170">
                  <c:v>44512</c:v>
                </c:pt>
                <c:pt idx="171">
                  <c:v>44515</c:v>
                </c:pt>
                <c:pt idx="172">
                  <c:v>44516</c:v>
                </c:pt>
                <c:pt idx="173">
                  <c:v>44517</c:v>
                </c:pt>
                <c:pt idx="174">
                  <c:v>44518</c:v>
                </c:pt>
                <c:pt idx="175">
                  <c:v>44522</c:v>
                </c:pt>
                <c:pt idx="176">
                  <c:v>44523</c:v>
                </c:pt>
                <c:pt idx="177">
                  <c:v>44524</c:v>
                </c:pt>
                <c:pt idx="178">
                  <c:v>44525</c:v>
                </c:pt>
                <c:pt idx="179">
                  <c:v>44526</c:v>
                </c:pt>
                <c:pt idx="180">
                  <c:v>44529</c:v>
                </c:pt>
                <c:pt idx="181">
                  <c:v>44530</c:v>
                </c:pt>
                <c:pt idx="182">
                  <c:v>44531</c:v>
                </c:pt>
                <c:pt idx="183">
                  <c:v>44532</c:v>
                </c:pt>
                <c:pt idx="184">
                  <c:v>44533</c:v>
                </c:pt>
                <c:pt idx="185">
                  <c:v>44536</c:v>
                </c:pt>
                <c:pt idx="186">
                  <c:v>44537</c:v>
                </c:pt>
                <c:pt idx="187">
                  <c:v>44538</c:v>
                </c:pt>
                <c:pt idx="188">
                  <c:v>44539</c:v>
                </c:pt>
                <c:pt idx="189">
                  <c:v>44540</c:v>
                </c:pt>
                <c:pt idx="190">
                  <c:v>44543</c:v>
                </c:pt>
                <c:pt idx="191">
                  <c:v>44544</c:v>
                </c:pt>
                <c:pt idx="192">
                  <c:v>44545</c:v>
                </c:pt>
                <c:pt idx="193">
                  <c:v>44546</c:v>
                </c:pt>
                <c:pt idx="194">
                  <c:v>44547</c:v>
                </c:pt>
                <c:pt idx="195">
                  <c:v>44550</c:v>
                </c:pt>
                <c:pt idx="196">
                  <c:v>44551</c:v>
                </c:pt>
                <c:pt idx="197">
                  <c:v>44552</c:v>
                </c:pt>
                <c:pt idx="198">
                  <c:v>44553</c:v>
                </c:pt>
                <c:pt idx="199">
                  <c:v>44554</c:v>
                </c:pt>
                <c:pt idx="200">
                  <c:v>44557</c:v>
                </c:pt>
                <c:pt idx="201">
                  <c:v>44558</c:v>
                </c:pt>
                <c:pt idx="202">
                  <c:v>44559</c:v>
                </c:pt>
                <c:pt idx="203">
                  <c:v>44560</c:v>
                </c:pt>
                <c:pt idx="204">
                  <c:v>44561</c:v>
                </c:pt>
                <c:pt idx="205">
                  <c:v>44564</c:v>
                </c:pt>
                <c:pt idx="206">
                  <c:v>44565</c:v>
                </c:pt>
                <c:pt idx="207">
                  <c:v>44566</c:v>
                </c:pt>
                <c:pt idx="208">
                  <c:v>44567</c:v>
                </c:pt>
                <c:pt idx="209">
                  <c:v>44568</c:v>
                </c:pt>
                <c:pt idx="210">
                  <c:v>44571</c:v>
                </c:pt>
                <c:pt idx="211">
                  <c:v>44572</c:v>
                </c:pt>
                <c:pt idx="212">
                  <c:v>44573</c:v>
                </c:pt>
                <c:pt idx="213">
                  <c:v>44574</c:v>
                </c:pt>
                <c:pt idx="214">
                  <c:v>44575</c:v>
                </c:pt>
                <c:pt idx="215">
                  <c:v>44578</c:v>
                </c:pt>
                <c:pt idx="216">
                  <c:v>44579</c:v>
                </c:pt>
                <c:pt idx="217">
                  <c:v>44580</c:v>
                </c:pt>
                <c:pt idx="218">
                  <c:v>44581</c:v>
                </c:pt>
                <c:pt idx="219">
                  <c:v>44582</c:v>
                </c:pt>
                <c:pt idx="220">
                  <c:v>44585</c:v>
                </c:pt>
                <c:pt idx="221">
                  <c:v>44586</c:v>
                </c:pt>
                <c:pt idx="222">
                  <c:v>44588</c:v>
                </c:pt>
                <c:pt idx="223">
                  <c:v>44589</c:v>
                </c:pt>
                <c:pt idx="224">
                  <c:v>44592</c:v>
                </c:pt>
                <c:pt idx="225">
                  <c:v>44593</c:v>
                </c:pt>
                <c:pt idx="226">
                  <c:v>44594</c:v>
                </c:pt>
                <c:pt idx="227">
                  <c:v>44595</c:v>
                </c:pt>
                <c:pt idx="228">
                  <c:v>44596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44622</c:v>
                </c:pt>
                <c:pt idx="246">
                  <c:v>44623</c:v>
                </c:pt>
                <c:pt idx="247">
                  <c:v>44624</c:v>
                </c:pt>
                <c:pt idx="248">
                  <c:v>44627</c:v>
                </c:pt>
                <c:pt idx="249">
                  <c:v>44628</c:v>
                </c:pt>
                <c:pt idx="250">
                  <c:v>44629</c:v>
                </c:pt>
                <c:pt idx="251">
                  <c:v>44630</c:v>
                </c:pt>
                <c:pt idx="252">
                  <c:v>44631</c:v>
                </c:pt>
                <c:pt idx="253">
                  <c:v>44634</c:v>
                </c:pt>
                <c:pt idx="254">
                  <c:v>44635</c:v>
                </c:pt>
                <c:pt idx="255">
                  <c:v>44636</c:v>
                </c:pt>
                <c:pt idx="256">
                  <c:v>44637</c:v>
                </c:pt>
                <c:pt idx="257">
                  <c:v>44641</c:v>
                </c:pt>
                <c:pt idx="258">
                  <c:v>44642</c:v>
                </c:pt>
                <c:pt idx="259">
                  <c:v>44643</c:v>
                </c:pt>
                <c:pt idx="260">
                  <c:v>44644</c:v>
                </c:pt>
                <c:pt idx="261">
                  <c:v>44645</c:v>
                </c:pt>
                <c:pt idx="262">
                  <c:v>44648</c:v>
                </c:pt>
                <c:pt idx="263">
                  <c:v>44649</c:v>
                </c:pt>
                <c:pt idx="264">
                  <c:v>44650</c:v>
                </c:pt>
                <c:pt idx="265">
                  <c:v>44651</c:v>
                </c:pt>
                <c:pt idx="266">
                  <c:v>44652</c:v>
                </c:pt>
                <c:pt idx="267">
                  <c:v>44655</c:v>
                </c:pt>
                <c:pt idx="268">
                  <c:v>44656</c:v>
                </c:pt>
                <c:pt idx="269">
                  <c:v>44657</c:v>
                </c:pt>
                <c:pt idx="270">
                  <c:v>44658</c:v>
                </c:pt>
                <c:pt idx="271">
                  <c:v>44659</c:v>
                </c:pt>
                <c:pt idx="272">
                  <c:v>44662</c:v>
                </c:pt>
                <c:pt idx="273">
                  <c:v>44663</c:v>
                </c:pt>
                <c:pt idx="274">
                  <c:v>44664</c:v>
                </c:pt>
                <c:pt idx="275">
                  <c:v>44669</c:v>
                </c:pt>
                <c:pt idx="276">
                  <c:v>44670</c:v>
                </c:pt>
                <c:pt idx="277">
                  <c:v>44671</c:v>
                </c:pt>
                <c:pt idx="278">
                  <c:v>44672</c:v>
                </c:pt>
                <c:pt idx="279">
                  <c:v>44673</c:v>
                </c:pt>
                <c:pt idx="280">
                  <c:v>44676</c:v>
                </c:pt>
                <c:pt idx="281">
                  <c:v>44677</c:v>
                </c:pt>
                <c:pt idx="282">
                  <c:v>44678</c:v>
                </c:pt>
                <c:pt idx="283">
                  <c:v>44679</c:v>
                </c:pt>
                <c:pt idx="284">
                  <c:v>44680</c:v>
                </c:pt>
                <c:pt idx="285">
                  <c:v>44683</c:v>
                </c:pt>
                <c:pt idx="286">
                  <c:v>44685</c:v>
                </c:pt>
                <c:pt idx="287">
                  <c:v>44686</c:v>
                </c:pt>
                <c:pt idx="288">
                  <c:v>44687</c:v>
                </c:pt>
                <c:pt idx="289">
                  <c:v>44690</c:v>
                </c:pt>
                <c:pt idx="290">
                  <c:v>44691</c:v>
                </c:pt>
                <c:pt idx="291">
                  <c:v>44692</c:v>
                </c:pt>
                <c:pt idx="292">
                  <c:v>44693</c:v>
                </c:pt>
                <c:pt idx="293">
                  <c:v>44694</c:v>
                </c:pt>
                <c:pt idx="294">
                  <c:v>44697</c:v>
                </c:pt>
                <c:pt idx="295">
                  <c:v>44698</c:v>
                </c:pt>
                <c:pt idx="296">
                  <c:v>44699</c:v>
                </c:pt>
                <c:pt idx="297">
                  <c:v>44700</c:v>
                </c:pt>
                <c:pt idx="298">
                  <c:v>44701</c:v>
                </c:pt>
                <c:pt idx="299">
                  <c:v>44704</c:v>
                </c:pt>
                <c:pt idx="300">
                  <c:v>44705</c:v>
                </c:pt>
                <c:pt idx="301">
                  <c:v>44706</c:v>
                </c:pt>
                <c:pt idx="302">
                  <c:v>44707</c:v>
                </c:pt>
                <c:pt idx="303">
                  <c:v>44708</c:v>
                </c:pt>
                <c:pt idx="304">
                  <c:v>44711</c:v>
                </c:pt>
                <c:pt idx="305">
                  <c:v>44712</c:v>
                </c:pt>
                <c:pt idx="306">
                  <c:v>44713</c:v>
                </c:pt>
                <c:pt idx="307">
                  <c:v>44714</c:v>
                </c:pt>
                <c:pt idx="308">
                  <c:v>44715</c:v>
                </c:pt>
                <c:pt idx="309">
                  <c:v>44718</c:v>
                </c:pt>
                <c:pt idx="310">
                  <c:v>44719</c:v>
                </c:pt>
                <c:pt idx="311">
                  <c:v>44720</c:v>
                </c:pt>
                <c:pt idx="312">
                  <c:v>44721</c:v>
                </c:pt>
                <c:pt idx="313">
                  <c:v>44722</c:v>
                </c:pt>
                <c:pt idx="314">
                  <c:v>44725</c:v>
                </c:pt>
                <c:pt idx="315">
                  <c:v>44726</c:v>
                </c:pt>
                <c:pt idx="316">
                  <c:v>44727</c:v>
                </c:pt>
                <c:pt idx="317">
                  <c:v>44728</c:v>
                </c:pt>
                <c:pt idx="318">
                  <c:v>44729</c:v>
                </c:pt>
                <c:pt idx="319">
                  <c:v>44732</c:v>
                </c:pt>
                <c:pt idx="320">
                  <c:v>44733</c:v>
                </c:pt>
                <c:pt idx="321">
                  <c:v>44734</c:v>
                </c:pt>
                <c:pt idx="322">
                  <c:v>44735</c:v>
                </c:pt>
                <c:pt idx="323">
                  <c:v>44736</c:v>
                </c:pt>
                <c:pt idx="324">
                  <c:v>44739</c:v>
                </c:pt>
                <c:pt idx="325">
                  <c:v>44740</c:v>
                </c:pt>
                <c:pt idx="326">
                  <c:v>44741</c:v>
                </c:pt>
                <c:pt idx="327">
                  <c:v>44742</c:v>
                </c:pt>
                <c:pt idx="328">
                  <c:v>44743</c:v>
                </c:pt>
                <c:pt idx="329">
                  <c:v>44746</c:v>
                </c:pt>
                <c:pt idx="330">
                  <c:v>44747</c:v>
                </c:pt>
                <c:pt idx="331">
                  <c:v>44748</c:v>
                </c:pt>
                <c:pt idx="332">
                  <c:v>44749</c:v>
                </c:pt>
                <c:pt idx="333">
                  <c:v>44750</c:v>
                </c:pt>
                <c:pt idx="334">
                  <c:v>44753</c:v>
                </c:pt>
                <c:pt idx="335">
                  <c:v>44754</c:v>
                </c:pt>
                <c:pt idx="336">
                  <c:v>44755</c:v>
                </c:pt>
                <c:pt idx="337">
                  <c:v>44756</c:v>
                </c:pt>
                <c:pt idx="338">
                  <c:v>44757</c:v>
                </c:pt>
                <c:pt idx="339">
                  <c:v>44760</c:v>
                </c:pt>
                <c:pt idx="340">
                  <c:v>44761</c:v>
                </c:pt>
                <c:pt idx="341">
                  <c:v>44762</c:v>
                </c:pt>
                <c:pt idx="342">
                  <c:v>44763</c:v>
                </c:pt>
                <c:pt idx="343">
                  <c:v>44764</c:v>
                </c:pt>
                <c:pt idx="344">
                  <c:v>44767</c:v>
                </c:pt>
                <c:pt idx="345">
                  <c:v>44768</c:v>
                </c:pt>
                <c:pt idx="346">
                  <c:v>44769</c:v>
                </c:pt>
                <c:pt idx="347">
                  <c:v>44770</c:v>
                </c:pt>
                <c:pt idx="348">
                  <c:v>44771</c:v>
                </c:pt>
                <c:pt idx="349">
                  <c:v>44774</c:v>
                </c:pt>
                <c:pt idx="350">
                  <c:v>44775</c:v>
                </c:pt>
                <c:pt idx="351">
                  <c:v>44776</c:v>
                </c:pt>
                <c:pt idx="352">
                  <c:v>44777</c:v>
                </c:pt>
                <c:pt idx="353">
                  <c:v>44778</c:v>
                </c:pt>
                <c:pt idx="354">
                  <c:v>44781</c:v>
                </c:pt>
                <c:pt idx="355">
                  <c:v>44783</c:v>
                </c:pt>
                <c:pt idx="356">
                  <c:v>44784</c:v>
                </c:pt>
                <c:pt idx="357">
                  <c:v>44785</c:v>
                </c:pt>
                <c:pt idx="358">
                  <c:v>44789</c:v>
                </c:pt>
                <c:pt idx="359">
                  <c:v>44790</c:v>
                </c:pt>
                <c:pt idx="360">
                  <c:v>44791</c:v>
                </c:pt>
                <c:pt idx="361">
                  <c:v>44792</c:v>
                </c:pt>
                <c:pt idx="362">
                  <c:v>44795</c:v>
                </c:pt>
                <c:pt idx="363">
                  <c:v>44796</c:v>
                </c:pt>
                <c:pt idx="364">
                  <c:v>44797</c:v>
                </c:pt>
                <c:pt idx="365">
                  <c:v>44798</c:v>
                </c:pt>
                <c:pt idx="366">
                  <c:v>44799</c:v>
                </c:pt>
                <c:pt idx="367">
                  <c:v>44802</c:v>
                </c:pt>
                <c:pt idx="368">
                  <c:v>44803</c:v>
                </c:pt>
                <c:pt idx="369">
                  <c:v>44805</c:v>
                </c:pt>
                <c:pt idx="370">
                  <c:v>44806</c:v>
                </c:pt>
                <c:pt idx="371">
                  <c:v>44809</c:v>
                </c:pt>
                <c:pt idx="372">
                  <c:v>44810</c:v>
                </c:pt>
                <c:pt idx="373">
                  <c:v>44811</c:v>
                </c:pt>
                <c:pt idx="374">
                  <c:v>44812</c:v>
                </c:pt>
                <c:pt idx="375">
                  <c:v>44813</c:v>
                </c:pt>
                <c:pt idx="376">
                  <c:v>44816</c:v>
                </c:pt>
                <c:pt idx="377">
                  <c:v>44817</c:v>
                </c:pt>
                <c:pt idx="378">
                  <c:v>44818</c:v>
                </c:pt>
                <c:pt idx="379">
                  <c:v>44819</c:v>
                </c:pt>
                <c:pt idx="380">
                  <c:v>44820</c:v>
                </c:pt>
                <c:pt idx="381">
                  <c:v>44823</c:v>
                </c:pt>
                <c:pt idx="382">
                  <c:v>44824</c:v>
                </c:pt>
                <c:pt idx="383">
                  <c:v>44825</c:v>
                </c:pt>
                <c:pt idx="384">
                  <c:v>44826</c:v>
                </c:pt>
                <c:pt idx="385">
                  <c:v>44827</c:v>
                </c:pt>
                <c:pt idx="386">
                  <c:v>44830</c:v>
                </c:pt>
                <c:pt idx="387">
                  <c:v>44831</c:v>
                </c:pt>
                <c:pt idx="388">
                  <c:v>44832</c:v>
                </c:pt>
                <c:pt idx="389">
                  <c:v>44833</c:v>
                </c:pt>
                <c:pt idx="390">
                  <c:v>44834</c:v>
                </c:pt>
                <c:pt idx="391">
                  <c:v>44837</c:v>
                </c:pt>
                <c:pt idx="392">
                  <c:v>44838</c:v>
                </c:pt>
                <c:pt idx="393">
                  <c:v>44840</c:v>
                </c:pt>
                <c:pt idx="394">
                  <c:v>44841</c:v>
                </c:pt>
                <c:pt idx="395">
                  <c:v>44844</c:v>
                </c:pt>
                <c:pt idx="396">
                  <c:v>44845</c:v>
                </c:pt>
                <c:pt idx="397">
                  <c:v>44846</c:v>
                </c:pt>
                <c:pt idx="398">
                  <c:v>44847</c:v>
                </c:pt>
                <c:pt idx="399">
                  <c:v>44848</c:v>
                </c:pt>
                <c:pt idx="400">
                  <c:v>44851</c:v>
                </c:pt>
                <c:pt idx="401">
                  <c:v>44852</c:v>
                </c:pt>
                <c:pt idx="402">
                  <c:v>44853</c:v>
                </c:pt>
                <c:pt idx="403">
                  <c:v>44854</c:v>
                </c:pt>
                <c:pt idx="404">
                  <c:v>44855</c:v>
                </c:pt>
                <c:pt idx="405">
                  <c:v>44858</c:v>
                </c:pt>
                <c:pt idx="406">
                  <c:v>44859</c:v>
                </c:pt>
                <c:pt idx="407">
                  <c:v>44861</c:v>
                </c:pt>
                <c:pt idx="408">
                  <c:v>44862</c:v>
                </c:pt>
                <c:pt idx="409">
                  <c:v>44865</c:v>
                </c:pt>
                <c:pt idx="410">
                  <c:v>44866</c:v>
                </c:pt>
                <c:pt idx="411">
                  <c:v>44867</c:v>
                </c:pt>
                <c:pt idx="412">
                  <c:v>44868</c:v>
                </c:pt>
                <c:pt idx="413">
                  <c:v>44869</c:v>
                </c:pt>
                <c:pt idx="414">
                  <c:v>44872</c:v>
                </c:pt>
                <c:pt idx="415">
                  <c:v>44874</c:v>
                </c:pt>
                <c:pt idx="416">
                  <c:v>44875</c:v>
                </c:pt>
                <c:pt idx="417">
                  <c:v>44876</c:v>
                </c:pt>
                <c:pt idx="418">
                  <c:v>44879</c:v>
                </c:pt>
                <c:pt idx="419">
                  <c:v>44880</c:v>
                </c:pt>
                <c:pt idx="420">
                  <c:v>44881</c:v>
                </c:pt>
                <c:pt idx="421">
                  <c:v>44882</c:v>
                </c:pt>
                <c:pt idx="422">
                  <c:v>44883</c:v>
                </c:pt>
                <c:pt idx="423">
                  <c:v>44886</c:v>
                </c:pt>
                <c:pt idx="424">
                  <c:v>44887</c:v>
                </c:pt>
                <c:pt idx="425">
                  <c:v>44888</c:v>
                </c:pt>
                <c:pt idx="426">
                  <c:v>44889</c:v>
                </c:pt>
                <c:pt idx="427">
                  <c:v>44890</c:v>
                </c:pt>
                <c:pt idx="428">
                  <c:v>44893</c:v>
                </c:pt>
                <c:pt idx="429">
                  <c:v>44894</c:v>
                </c:pt>
                <c:pt idx="430">
                  <c:v>44895</c:v>
                </c:pt>
                <c:pt idx="431">
                  <c:v>44896</c:v>
                </c:pt>
                <c:pt idx="432">
                  <c:v>44897</c:v>
                </c:pt>
                <c:pt idx="433">
                  <c:v>44900</c:v>
                </c:pt>
                <c:pt idx="434">
                  <c:v>44901</c:v>
                </c:pt>
                <c:pt idx="435">
                  <c:v>44902</c:v>
                </c:pt>
                <c:pt idx="436">
                  <c:v>44903</c:v>
                </c:pt>
                <c:pt idx="437">
                  <c:v>44904</c:v>
                </c:pt>
                <c:pt idx="438">
                  <c:v>44907</c:v>
                </c:pt>
                <c:pt idx="439">
                  <c:v>44908</c:v>
                </c:pt>
                <c:pt idx="440">
                  <c:v>44909</c:v>
                </c:pt>
                <c:pt idx="441">
                  <c:v>44910</c:v>
                </c:pt>
                <c:pt idx="442">
                  <c:v>44911</c:v>
                </c:pt>
                <c:pt idx="443">
                  <c:v>44914</c:v>
                </c:pt>
                <c:pt idx="444">
                  <c:v>44915</c:v>
                </c:pt>
                <c:pt idx="445">
                  <c:v>44916</c:v>
                </c:pt>
                <c:pt idx="446">
                  <c:v>44917</c:v>
                </c:pt>
                <c:pt idx="447">
                  <c:v>44918</c:v>
                </c:pt>
                <c:pt idx="448">
                  <c:v>44921</c:v>
                </c:pt>
                <c:pt idx="449">
                  <c:v>44922</c:v>
                </c:pt>
                <c:pt idx="450">
                  <c:v>44923</c:v>
                </c:pt>
                <c:pt idx="451">
                  <c:v>44924</c:v>
                </c:pt>
                <c:pt idx="452">
                  <c:v>44925</c:v>
                </c:pt>
                <c:pt idx="453">
                  <c:v>44928</c:v>
                </c:pt>
                <c:pt idx="454">
                  <c:v>44929</c:v>
                </c:pt>
                <c:pt idx="455">
                  <c:v>44930</c:v>
                </c:pt>
                <c:pt idx="456">
                  <c:v>44931</c:v>
                </c:pt>
                <c:pt idx="457">
                  <c:v>44932</c:v>
                </c:pt>
                <c:pt idx="458">
                  <c:v>44935</c:v>
                </c:pt>
                <c:pt idx="459">
                  <c:v>44936</c:v>
                </c:pt>
                <c:pt idx="460">
                  <c:v>44937</c:v>
                </c:pt>
                <c:pt idx="461">
                  <c:v>44938</c:v>
                </c:pt>
                <c:pt idx="462">
                  <c:v>44939</c:v>
                </c:pt>
                <c:pt idx="463">
                  <c:v>44942</c:v>
                </c:pt>
                <c:pt idx="464">
                  <c:v>44943</c:v>
                </c:pt>
                <c:pt idx="465">
                  <c:v>44944</c:v>
                </c:pt>
                <c:pt idx="466">
                  <c:v>44945</c:v>
                </c:pt>
                <c:pt idx="467">
                  <c:v>44946</c:v>
                </c:pt>
                <c:pt idx="468">
                  <c:v>44949</c:v>
                </c:pt>
                <c:pt idx="469">
                  <c:v>44950</c:v>
                </c:pt>
                <c:pt idx="470">
                  <c:v>44951</c:v>
                </c:pt>
                <c:pt idx="471">
                  <c:v>44953</c:v>
                </c:pt>
                <c:pt idx="472">
                  <c:v>44956</c:v>
                </c:pt>
                <c:pt idx="473">
                  <c:v>44957</c:v>
                </c:pt>
                <c:pt idx="474">
                  <c:v>44958</c:v>
                </c:pt>
                <c:pt idx="475">
                  <c:v>44959</c:v>
                </c:pt>
                <c:pt idx="476">
                  <c:v>44960</c:v>
                </c:pt>
                <c:pt idx="477">
                  <c:v>44963</c:v>
                </c:pt>
                <c:pt idx="478">
                  <c:v>44964</c:v>
                </c:pt>
                <c:pt idx="479">
                  <c:v>44965</c:v>
                </c:pt>
                <c:pt idx="480">
                  <c:v>44966</c:v>
                </c:pt>
                <c:pt idx="481">
                  <c:v>44967</c:v>
                </c:pt>
                <c:pt idx="482">
                  <c:v>44970</c:v>
                </c:pt>
                <c:pt idx="483">
                  <c:v>44971</c:v>
                </c:pt>
                <c:pt idx="484">
                  <c:v>44972</c:v>
                </c:pt>
                <c:pt idx="485">
                  <c:v>44973</c:v>
                </c:pt>
                <c:pt idx="486">
                  <c:v>44974</c:v>
                </c:pt>
                <c:pt idx="487">
                  <c:v>44977</c:v>
                </c:pt>
                <c:pt idx="488">
                  <c:v>44978</c:v>
                </c:pt>
                <c:pt idx="489">
                  <c:v>44979</c:v>
                </c:pt>
                <c:pt idx="490">
                  <c:v>44980</c:v>
                </c:pt>
                <c:pt idx="491">
                  <c:v>44981</c:v>
                </c:pt>
                <c:pt idx="492">
                  <c:v>44984</c:v>
                </c:pt>
                <c:pt idx="493">
                  <c:v>44985</c:v>
                </c:pt>
                <c:pt idx="494">
                  <c:v>44986</c:v>
                </c:pt>
                <c:pt idx="495">
                  <c:v>44987</c:v>
                </c:pt>
                <c:pt idx="496">
                  <c:v>44988</c:v>
                </c:pt>
                <c:pt idx="497">
                  <c:v>44991</c:v>
                </c:pt>
                <c:pt idx="498">
                  <c:v>44993</c:v>
                </c:pt>
                <c:pt idx="499">
                  <c:v>44994</c:v>
                </c:pt>
                <c:pt idx="500">
                  <c:v>44995</c:v>
                </c:pt>
                <c:pt idx="501">
                  <c:v>44998</c:v>
                </c:pt>
                <c:pt idx="502">
                  <c:v>44999</c:v>
                </c:pt>
                <c:pt idx="503">
                  <c:v>45000</c:v>
                </c:pt>
                <c:pt idx="504">
                  <c:v>45001</c:v>
                </c:pt>
                <c:pt idx="505">
                  <c:v>45002</c:v>
                </c:pt>
                <c:pt idx="506">
                  <c:v>45005</c:v>
                </c:pt>
                <c:pt idx="507">
                  <c:v>45006</c:v>
                </c:pt>
                <c:pt idx="508">
                  <c:v>45007</c:v>
                </c:pt>
                <c:pt idx="509">
                  <c:v>45008</c:v>
                </c:pt>
                <c:pt idx="510">
                  <c:v>45009</c:v>
                </c:pt>
                <c:pt idx="511">
                  <c:v>45012</c:v>
                </c:pt>
                <c:pt idx="512">
                  <c:v>45013</c:v>
                </c:pt>
                <c:pt idx="513">
                  <c:v>45014</c:v>
                </c:pt>
                <c:pt idx="514">
                  <c:v>45016</c:v>
                </c:pt>
                <c:pt idx="515">
                  <c:v>45019</c:v>
                </c:pt>
                <c:pt idx="516">
                  <c:v>45021</c:v>
                </c:pt>
                <c:pt idx="517">
                  <c:v>45022</c:v>
                </c:pt>
                <c:pt idx="518">
                  <c:v>45026</c:v>
                </c:pt>
                <c:pt idx="519">
                  <c:v>45027</c:v>
                </c:pt>
                <c:pt idx="520">
                  <c:v>45028</c:v>
                </c:pt>
                <c:pt idx="521">
                  <c:v>45029</c:v>
                </c:pt>
                <c:pt idx="522">
                  <c:v>45033</c:v>
                </c:pt>
                <c:pt idx="523">
                  <c:v>45034</c:v>
                </c:pt>
                <c:pt idx="524">
                  <c:v>45035</c:v>
                </c:pt>
                <c:pt idx="525">
                  <c:v>45036</c:v>
                </c:pt>
                <c:pt idx="526">
                  <c:v>45037</c:v>
                </c:pt>
                <c:pt idx="527">
                  <c:v>45040</c:v>
                </c:pt>
                <c:pt idx="528">
                  <c:v>45041</c:v>
                </c:pt>
                <c:pt idx="529">
                  <c:v>45042</c:v>
                </c:pt>
                <c:pt idx="530">
                  <c:v>45043</c:v>
                </c:pt>
                <c:pt idx="531">
                  <c:v>45044</c:v>
                </c:pt>
                <c:pt idx="532">
                  <c:v>45048</c:v>
                </c:pt>
                <c:pt idx="533">
                  <c:v>45049</c:v>
                </c:pt>
                <c:pt idx="534">
                  <c:v>45050</c:v>
                </c:pt>
                <c:pt idx="535">
                  <c:v>45051</c:v>
                </c:pt>
                <c:pt idx="536">
                  <c:v>45054</c:v>
                </c:pt>
                <c:pt idx="537">
                  <c:v>45055</c:v>
                </c:pt>
                <c:pt idx="538">
                  <c:v>45056</c:v>
                </c:pt>
                <c:pt idx="539">
                  <c:v>45057</c:v>
                </c:pt>
                <c:pt idx="540">
                  <c:v>45058</c:v>
                </c:pt>
                <c:pt idx="541">
                  <c:v>45061</c:v>
                </c:pt>
                <c:pt idx="542">
                  <c:v>45062</c:v>
                </c:pt>
                <c:pt idx="543">
                  <c:v>45063</c:v>
                </c:pt>
                <c:pt idx="544">
                  <c:v>45064</c:v>
                </c:pt>
                <c:pt idx="545">
                  <c:v>45065</c:v>
                </c:pt>
                <c:pt idx="546">
                  <c:v>45068</c:v>
                </c:pt>
                <c:pt idx="547">
                  <c:v>45069</c:v>
                </c:pt>
                <c:pt idx="548">
                  <c:v>45070</c:v>
                </c:pt>
                <c:pt idx="549">
                  <c:v>45071</c:v>
                </c:pt>
                <c:pt idx="550">
                  <c:v>45072</c:v>
                </c:pt>
                <c:pt idx="551">
                  <c:v>45075</c:v>
                </c:pt>
                <c:pt idx="552">
                  <c:v>45076</c:v>
                </c:pt>
                <c:pt idx="553">
                  <c:v>45077</c:v>
                </c:pt>
                <c:pt idx="554">
                  <c:v>45078</c:v>
                </c:pt>
                <c:pt idx="555">
                  <c:v>45079</c:v>
                </c:pt>
                <c:pt idx="556">
                  <c:v>45082</c:v>
                </c:pt>
                <c:pt idx="557">
                  <c:v>45083</c:v>
                </c:pt>
                <c:pt idx="558">
                  <c:v>45084</c:v>
                </c:pt>
                <c:pt idx="559">
                  <c:v>45085</c:v>
                </c:pt>
                <c:pt idx="560">
                  <c:v>45086</c:v>
                </c:pt>
                <c:pt idx="561">
                  <c:v>45089</c:v>
                </c:pt>
                <c:pt idx="562">
                  <c:v>45090</c:v>
                </c:pt>
                <c:pt idx="563">
                  <c:v>45091</c:v>
                </c:pt>
                <c:pt idx="564">
                  <c:v>45092</c:v>
                </c:pt>
                <c:pt idx="565">
                  <c:v>45093</c:v>
                </c:pt>
                <c:pt idx="566">
                  <c:v>45096</c:v>
                </c:pt>
                <c:pt idx="567">
                  <c:v>45097</c:v>
                </c:pt>
                <c:pt idx="568">
                  <c:v>45098</c:v>
                </c:pt>
                <c:pt idx="569">
                  <c:v>45099</c:v>
                </c:pt>
                <c:pt idx="570">
                  <c:v>45100</c:v>
                </c:pt>
                <c:pt idx="571">
                  <c:v>45103</c:v>
                </c:pt>
                <c:pt idx="572">
                  <c:v>45104</c:v>
                </c:pt>
                <c:pt idx="573">
                  <c:v>45105</c:v>
                </c:pt>
                <c:pt idx="574">
                  <c:v>45107</c:v>
                </c:pt>
                <c:pt idx="575">
                  <c:v>45110</c:v>
                </c:pt>
                <c:pt idx="576">
                  <c:v>45111</c:v>
                </c:pt>
                <c:pt idx="577">
                  <c:v>45112</c:v>
                </c:pt>
                <c:pt idx="578">
                  <c:v>45113</c:v>
                </c:pt>
                <c:pt idx="579">
                  <c:v>45114</c:v>
                </c:pt>
                <c:pt idx="580">
                  <c:v>45117</c:v>
                </c:pt>
                <c:pt idx="581">
                  <c:v>45118</c:v>
                </c:pt>
                <c:pt idx="582">
                  <c:v>45119</c:v>
                </c:pt>
                <c:pt idx="583">
                  <c:v>45120</c:v>
                </c:pt>
                <c:pt idx="584">
                  <c:v>45121</c:v>
                </c:pt>
                <c:pt idx="585">
                  <c:v>45124</c:v>
                </c:pt>
                <c:pt idx="586">
                  <c:v>45125</c:v>
                </c:pt>
                <c:pt idx="587">
                  <c:v>45126</c:v>
                </c:pt>
                <c:pt idx="588">
                  <c:v>45127</c:v>
                </c:pt>
                <c:pt idx="589">
                  <c:v>45128</c:v>
                </c:pt>
                <c:pt idx="590">
                  <c:v>45131</c:v>
                </c:pt>
                <c:pt idx="591">
                  <c:v>45132</c:v>
                </c:pt>
                <c:pt idx="592">
                  <c:v>45133</c:v>
                </c:pt>
                <c:pt idx="593">
                  <c:v>45134</c:v>
                </c:pt>
                <c:pt idx="594">
                  <c:v>45135</c:v>
                </c:pt>
                <c:pt idx="595">
                  <c:v>45138</c:v>
                </c:pt>
                <c:pt idx="596">
                  <c:v>45139</c:v>
                </c:pt>
                <c:pt idx="597">
                  <c:v>45140</c:v>
                </c:pt>
                <c:pt idx="598">
                  <c:v>45141</c:v>
                </c:pt>
                <c:pt idx="599">
                  <c:v>45142</c:v>
                </c:pt>
                <c:pt idx="600">
                  <c:v>45145</c:v>
                </c:pt>
                <c:pt idx="601">
                  <c:v>45146</c:v>
                </c:pt>
                <c:pt idx="602">
                  <c:v>45147</c:v>
                </c:pt>
                <c:pt idx="603">
                  <c:v>45148</c:v>
                </c:pt>
                <c:pt idx="604">
                  <c:v>45149</c:v>
                </c:pt>
                <c:pt idx="605">
                  <c:v>45152</c:v>
                </c:pt>
                <c:pt idx="606">
                  <c:v>45154</c:v>
                </c:pt>
                <c:pt idx="607">
                  <c:v>45155</c:v>
                </c:pt>
                <c:pt idx="608">
                  <c:v>45156</c:v>
                </c:pt>
                <c:pt idx="609">
                  <c:v>45159</c:v>
                </c:pt>
                <c:pt idx="610">
                  <c:v>45160</c:v>
                </c:pt>
                <c:pt idx="611">
                  <c:v>45161</c:v>
                </c:pt>
                <c:pt idx="612">
                  <c:v>45162</c:v>
                </c:pt>
                <c:pt idx="613">
                  <c:v>45163</c:v>
                </c:pt>
                <c:pt idx="614">
                  <c:v>45166</c:v>
                </c:pt>
                <c:pt idx="615">
                  <c:v>45167</c:v>
                </c:pt>
                <c:pt idx="616">
                  <c:v>45168</c:v>
                </c:pt>
                <c:pt idx="617">
                  <c:v>45169</c:v>
                </c:pt>
                <c:pt idx="618">
                  <c:v>45170</c:v>
                </c:pt>
                <c:pt idx="619">
                  <c:v>45173</c:v>
                </c:pt>
                <c:pt idx="620">
                  <c:v>45174</c:v>
                </c:pt>
                <c:pt idx="621">
                  <c:v>45175</c:v>
                </c:pt>
                <c:pt idx="622">
                  <c:v>45176</c:v>
                </c:pt>
                <c:pt idx="623">
                  <c:v>45177</c:v>
                </c:pt>
                <c:pt idx="624">
                  <c:v>45180</c:v>
                </c:pt>
                <c:pt idx="625">
                  <c:v>45181</c:v>
                </c:pt>
                <c:pt idx="626">
                  <c:v>45182</c:v>
                </c:pt>
                <c:pt idx="627">
                  <c:v>45183</c:v>
                </c:pt>
                <c:pt idx="628">
                  <c:v>45184</c:v>
                </c:pt>
                <c:pt idx="629">
                  <c:v>45187</c:v>
                </c:pt>
                <c:pt idx="630">
                  <c:v>45189</c:v>
                </c:pt>
                <c:pt idx="631">
                  <c:v>45190</c:v>
                </c:pt>
                <c:pt idx="632">
                  <c:v>45191</c:v>
                </c:pt>
                <c:pt idx="633">
                  <c:v>45194</c:v>
                </c:pt>
                <c:pt idx="634">
                  <c:v>45195</c:v>
                </c:pt>
                <c:pt idx="635">
                  <c:v>45196</c:v>
                </c:pt>
                <c:pt idx="636">
                  <c:v>45197</c:v>
                </c:pt>
                <c:pt idx="637">
                  <c:v>45198</c:v>
                </c:pt>
                <c:pt idx="638">
                  <c:v>45202</c:v>
                </c:pt>
                <c:pt idx="639">
                  <c:v>45203</c:v>
                </c:pt>
                <c:pt idx="640">
                  <c:v>45204</c:v>
                </c:pt>
                <c:pt idx="641">
                  <c:v>45205</c:v>
                </c:pt>
                <c:pt idx="642">
                  <c:v>45208</c:v>
                </c:pt>
                <c:pt idx="643">
                  <c:v>45209</c:v>
                </c:pt>
                <c:pt idx="644">
                  <c:v>45210</c:v>
                </c:pt>
                <c:pt idx="645">
                  <c:v>45211</c:v>
                </c:pt>
                <c:pt idx="646">
                  <c:v>45212</c:v>
                </c:pt>
                <c:pt idx="647">
                  <c:v>45215</c:v>
                </c:pt>
                <c:pt idx="648">
                  <c:v>45216</c:v>
                </c:pt>
                <c:pt idx="649">
                  <c:v>45217</c:v>
                </c:pt>
                <c:pt idx="650">
                  <c:v>45218</c:v>
                </c:pt>
                <c:pt idx="651">
                  <c:v>45219</c:v>
                </c:pt>
                <c:pt idx="652">
                  <c:v>45222</c:v>
                </c:pt>
                <c:pt idx="653">
                  <c:v>45224</c:v>
                </c:pt>
                <c:pt idx="654">
                  <c:v>45225</c:v>
                </c:pt>
                <c:pt idx="655">
                  <c:v>45226</c:v>
                </c:pt>
                <c:pt idx="656">
                  <c:v>45229</c:v>
                </c:pt>
                <c:pt idx="657">
                  <c:v>45230</c:v>
                </c:pt>
                <c:pt idx="658">
                  <c:v>45231</c:v>
                </c:pt>
                <c:pt idx="659">
                  <c:v>45232</c:v>
                </c:pt>
                <c:pt idx="660">
                  <c:v>45233</c:v>
                </c:pt>
                <c:pt idx="661">
                  <c:v>45236</c:v>
                </c:pt>
                <c:pt idx="662">
                  <c:v>45237</c:v>
                </c:pt>
                <c:pt idx="663">
                  <c:v>45238</c:v>
                </c:pt>
                <c:pt idx="664">
                  <c:v>45239</c:v>
                </c:pt>
                <c:pt idx="665">
                  <c:v>45240</c:v>
                </c:pt>
                <c:pt idx="666">
                  <c:v>45242</c:v>
                </c:pt>
                <c:pt idx="667">
                  <c:v>45243</c:v>
                </c:pt>
                <c:pt idx="668">
                  <c:v>45245</c:v>
                </c:pt>
                <c:pt idx="669">
                  <c:v>45246</c:v>
                </c:pt>
                <c:pt idx="670">
                  <c:v>45247</c:v>
                </c:pt>
                <c:pt idx="671">
                  <c:v>45250</c:v>
                </c:pt>
                <c:pt idx="672">
                  <c:v>45251</c:v>
                </c:pt>
                <c:pt idx="673">
                  <c:v>45252</c:v>
                </c:pt>
                <c:pt idx="674">
                  <c:v>45253</c:v>
                </c:pt>
                <c:pt idx="675">
                  <c:v>45254</c:v>
                </c:pt>
                <c:pt idx="676">
                  <c:v>45258</c:v>
                </c:pt>
                <c:pt idx="677">
                  <c:v>45259</c:v>
                </c:pt>
                <c:pt idx="678">
                  <c:v>45260</c:v>
                </c:pt>
                <c:pt idx="679">
                  <c:v>45261</c:v>
                </c:pt>
                <c:pt idx="680">
                  <c:v>45264</c:v>
                </c:pt>
                <c:pt idx="681">
                  <c:v>45265</c:v>
                </c:pt>
                <c:pt idx="682">
                  <c:v>45266</c:v>
                </c:pt>
                <c:pt idx="683">
                  <c:v>45267</c:v>
                </c:pt>
                <c:pt idx="684">
                  <c:v>45268</c:v>
                </c:pt>
                <c:pt idx="685">
                  <c:v>45271</c:v>
                </c:pt>
                <c:pt idx="686">
                  <c:v>45272</c:v>
                </c:pt>
                <c:pt idx="687">
                  <c:v>45273</c:v>
                </c:pt>
                <c:pt idx="688">
                  <c:v>45274</c:v>
                </c:pt>
                <c:pt idx="689">
                  <c:v>45275</c:v>
                </c:pt>
                <c:pt idx="690">
                  <c:v>45278</c:v>
                </c:pt>
                <c:pt idx="691">
                  <c:v>45279</c:v>
                </c:pt>
                <c:pt idx="692">
                  <c:v>45280</c:v>
                </c:pt>
                <c:pt idx="693">
                  <c:v>45281</c:v>
                </c:pt>
                <c:pt idx="694">
                  <c:v>45282</c:v>
                </c:pt>
                <c:pt idx="695">
                  <c:v>45286</c:v>
                </c:pt>
                <c:pt idx="696">
                  <c:v>45287</c:v>
                </c:pt>
                <c:pt idx="697">
                  <c:v>45288</c:v>
                </c:pt>
                <c:pt idx="698">
                  <c:v>45289</c:v>
                </c:pt>
                <c:pt idx="699">
                  <c:v>45292</c:v>
                </c:pt>
                <c:pt idx="700">
                  <c:v>45293</c:v>
                </c:pt>
                <c:pt idx="701">
                  <c:v>45294</c:v>
                </c:pt>
                <c:pt idx="702">
                  <c:v>45295</c:v>
                </c:pt>
                <c:pt idx="703">
                  <c:v>45296</c:v>
                </c:pt>
                <c:pt idx="704">
                  <c:v>45299</c:v>
                </c:pt>
                <c:pt idx="705">
                  <c:v>45300</c:v>
                </c:pt>
                <c:pt idx="706">
                  <c:v>45301</c:v>
                </c:pt>
                <c:pt idx="707">
                  <c:v>45302</c:v>
                </c:pt>
                <c:pt idx="708">
                  <c:v>45303</c:v>
                </c:pt>
                <c:pt idx="709">
                  <c:v>45306</c:v>
                </c:pt>
                <c:pt idx="710">
                  <c:v>45307</c:v>
                </c:pt>
                <c:pt idx="711">
                  <c:v>45308</c:v>
                </c:pt>
                <c:pt idx="712">
                  <c:v>45309</c:v>
                </c:pt>
                <c:pt idx="713">
                  <c:v>45310</c:v>
                </c:pt>
                <c:pt idx="714">
                  <c:v>45311</c:v>
                </c:pt>
                <c:pt idx="715">
                  <c:v>45314</c:v>
                </c:pt>
                <c:pt idx="716">
                  <c:v>45315</c:v>
                </c:pt>
                <c:pt idx="717">
                  <c:v>45316</c:v>
                </c:pt>
                <c:pt idx="718">
                  <c:v>45320</c:v>
                </c:pt>
                <c:pt idx="719">
                  <c:v>45321</c:v>
                </c:pt>
                <c:pt idx="720">
                  <c:v>45322</c:v>
                </c:pt>
                <c:pt idx="721">
                  <c:v>45323</c:v>
                </c:pt>
                <c:pt idx="722">
                  <c:v>45324</c:v>
                </c:pt>
                <c:pt idx="723">
                  <c:v>45327</c:v>
                </c:pt>
                <c:pt idx="724">
                  <c:v>45328</c:v>
                </c:pt>
                <c:pt idx="725">
                  <c:v>45329</c:v>
                </c:pt>
                <c:pt idx="726">
                  <c:v>45330</c:v>
                </c:pt>
                <c:pt idx="727">
                  <c:v>45331</c:v>
                </c:pt>
                <c:pt idx="728">
                  <c:v>45334</c:v>
                </c:pt>
                <c:pt idx="729">
                  <c:v>45335</c:v>
                </c:pt>
                <c:pt idx="730">
                  <c:v>45336</c:v>
                </c:pt>
                <c:pt idx="731">
                  <c:v>45337</c:v>
                </c:pt>
                <c:pt idx="732">
                  <c:v>45338</c:v>
                </c:pt>
                <c:pt idx="733">
                  <c:v>45341</c:v>
                </c:pt>
                <c:pt idx="734">
                  <c:v>45342</c:v>
                </c:pt>
                <c:pt idx="735">
                  <c:v>45343</c:v>
                </c:pt>
                <c:pt idx="736">
                  <c:v>45344</c:v>
                </c:pt>
                <c:pt idx="737">
                  <c:v>45345</c:v>
                </c:pt>
                <c:pt idx="738">
                  <c:v>45348</c:v>
                </c:pt>
                <c:pt idx="739">
                  <c:v>45349</c:v>
                </c:pt>
                <c:pt idx="740">
                  <c:v>45350</c:v>
                </c:pt>
                <c:pt idx="741">
                  <c:v>45351</c:v>
                </c:pt>
                <c:pt idx="742">
                  <c:v>45352</c:v>
                </c:pt>
                <c:pt idx="743">
                  <c:v>45353</c:v>
                </c:pt>
                <c:pt idx="744">
                  <c:v>45355</c:v>
                </c:pt>
                <c:pt idx="745">
                  <c:v>45356</c:v>
                </c:pt>
                <c:pt idx="746">
                  <c:v>45357</c:v>
                </c:pt>
                <c:pt idx="747">
                  <c:v>45358</c:v>
                </c:pt>
                <c:pt idx="748">
                  <c:v>45362</c:v>
                </c:pt>
                <c:pt idx="749">
                  <c:v>45363</c:v>
                </c:pt>
                <c:pt idx="750">
                  <c:v>45364</c:v>
                </c:pt>
                <c:pt idx="751">
                  <c:v>45365</c:v>
                </c:pt>
                <c:pt idx="752">
                  <c:v>45366</c:v>
                </c:pt>
                <c:pt idx="753">
                  <c:v>45369</c:v>
                </c:pt>
                <c:pt idx="754">
                  <c:v>45370</c:v>
                </c:pt>
                <c:pt idx="755">
                  <c:v>45371</c:v>
                </c:pt>
                <c:pt idx="756">
                  <c:v>45372</c:v>
                </c:pt>
                <c:pt idx="757">
                  <c:v>45373</c:v>
                </c:pt>
                <c:pt idx="758">
                  <c:v>45377</c:v>
                </c:pt>
                <c:pt idx="759">
                  <c:v>45378</c:v>
                </c:pt>
                <c:pt idx="760">
                  <c:v>45379</c:v>
                </c:pt>
                <c:pt idx="761">
                  <c:v>45383</c:v>
                </c:pt>
                <c:pt idx="762">
                  <c:v>45384</c:v>
                </c:pt>
                <c:pt idx="763">
                  <c:v>45385</c:v>
                </c:pt>
                <c:pt idx="764">
                  <c:v>45386</c:v>
                </c:pt>
                <c:pt idx="765">
                  <c:v>45387</c:v>
                </c:pt>
                <c:pt idx="766">
                  <c:v>45390</c:v>
                </c:pt>
                <c:pt idx="767">
                  <c:v>45391</c:v>
                </c:pt>
                <c:pt idx="768">
                  <c:v>45392</c:v>
                </c:pt>
                <c:pt idx="769">
                  <c:v>45394</c:v>
                </c:pt>
                <c:pt idx="770">
                  <c:v>45397</c:v>
                </c:pt>
                <c:pt idx="771">
                  <c:v>45398</c:v>
                </c:pt>
                <c:pt idx="772">
                  <c:v>45400</c:v>
                </c:pt>
                <c:pt idx="773">
                  <c:v>45401</c:v>
                </c:pt>
                <c:pt idx="774">
                  <c:v>45404</c:v>
                </c:pt>
                <c:pt idx="775">
                  <c:v>45405</c:v>
                </c:pt>
                <c:pt idx="776">
                  <c:v>45406</c:v>
                </c:pt>
                <c:pt idx="777">
                  <c:v>45407</c:v>
                </c:pt>
                <c:pt idx="778">
                  <c:v>45408</c:v>
                </c:pt>
                <c:pt idx="779">
                  <c:v>45411</c:v>
                </c:pt>
                <c:pt idx="780">
                  <c:v>45412</c:v>
                </c:pt>
                <c:pt idx="781">
                  <c:v>45414</c:v>
                </c:pt>
                <c:pt idx="782">
                  <c:v>45415</c:v>
                </c:pt>
                <c:pt idx="783">
                  <c:v>45418</c:v>
                </c:pt>
                <c:pt idx="784">
                  <c:v>45419</c:v>
                </c:pt>
                <c:pt idx="785">
                  <c:v>45420</c:v>
                </c:pt>
                <c:pt idx="786">
                  <c:v>45421</c:v>
                </c:pt>
                <c:pt idx="787">
                  <c:v>45422</c:v>
                </c:pt>
                <c:pt idx="788">
                  <c:v>45425</c:v>
                </c:pt>
                <c:pt idx="789">
                  <c:v>45426</c:v>
                </c:pt>
                <c:pt idx="790">
                  <c:v>45427</c:v>
                </c:pt>
                <c:pt idx="791">
                  <c:v>45428</c:v>
                </c:pt>
                <c:pt idx="792">
                  <c:v>45429</c:v>
                </c:pt>
                <c:pt idx="793">
                  <c:v>45430</c:v>
                </c:pt>
                <c:pt idx="794">
                  <c:v>45433</c:v>
                </c:pt>
                <c:pt idx="795">
                  <c:v>45434</c:v>
                </c:pt>
                <c:pt idx="796">
                  <c:v>45435</c:v>
                </c:pt>
                <c:pt idx="797">
                  <c:v>45436</c:v>
                </c:pt>
                <c:pt idx="798">
                  <c:v>45439</c:v>
                </c:pt>
                <c:pt idx="799">
                  <c:v>45440</c:v>
                </c:pt>
                <c:pt idx="800">
                  <c:v>45441</c:v>
                </c:pt>
                <c:pt idx="801">
                  <c:v>45442</c:v>
                </c:pt>
                <c:pt idx="802">
                  <c:v>45443</c:v>
                </c:pt>
                <c:pt idx="803">
                  <c:v>45446</c:v>
                </c:pt>
                <c:pt idx="804">
                  <c:v>45447</c:v>
                </c:pt>
                <c:pt idx="805">
                  <c:v>45448</c:v>
                </c:pt>
                <c:pt idx="806">
                  <c:v>45449</c:v>
                </c:pt>
                <c:pt idx="807">
                  <c:v>45450</c:v>
                </c:pt>
                <c:pt idx="808">
                  <c:v>45453</c:v>
                </c:pt>
                <c:pt idx="809">
                  <c:v>45454</c:v>
                </c:pt>
                <c:pt idx="810">
                  <c:v>45455</c:v>
                </c:pt>
                <c:pt idx="811">
                  <c:v>45456</c:v>
                </c:pt>
                <c:pt idx="812">
                  <c:v>45457</c:v>
                </c:pt>
                <c:pt idx="813">
                  <c:v>45461</c:v>
                </c:pt>
                <c:pt idx="814">
                  <c:v>45462</c:v>
                </c:pt>
                <c:pt idx="815">
                  <c:v>45463</c:v>
                </c:pt>
                <c:pt idx="816">
                  <c:v>45464</c:v>
                </c:pt>
                <c:pt idx="817">
                  <c:v>45467</c:v>
                </c:pt>
                <c:pt idx="818">
                  <c:v>45468</c:v>
                </c:pt>
                <c:pt idx="819">
                  <c:v>45469</c:v>
                </c:pt>
                <c:pt idx="820">
                  <c:v>45470</c:v>
                </c:pt>
                <c:pt idx="821">
                  <c:v>45471</c:v>
                </c:pt>
                <c:pt idx="822">
                  <c:v>45474</c:v>
                </c:pt>
                <c:pt idx="823">
                  <c:v>45475</c:v>
                </c:pt>
                <c:pt idx="824">
                  <c:v>45476</c:v>
                </c:pt>
                <c:pt idx="825">
                  <c:v>45477</c:v>
                </c:pt>
                <c:pt idx="826">
                  <c:v>45478</c:v>
                </c:pt>
                <c:pt idx="827">
                  <c:v>45481</c:v>
                </c:pt>
                <c:pt idx="828">
                  <c:v>45482</c:v>
                </c:pt>
                <c:pt idx="829">
                  <c:v>45483</c:v>
                </c:pt>
                <c:pt idx="830">
                  <c:v>45484</c:v>
                </c:pt>
                <c:pt idx="831">
                  <c:v>45485</c:v>
                </c:pt>
                <c:pt idx="832">
                  <c:v>45488</c:v>
                </c:pt>
                <c:pt idx="833">
                  <c:v>45489</c:v>
                </c:pt>
                <c:pt idx="834">
                  <c:v>45491</c:v>
                </c:pt>
                <c:pt idx="835">
                  <c:v>45492</c:v>
                </c:pt>
                <c:pt idx="836">
                  <c:v>45495</c:v>
                </c:pt>
                <c:pt idx="837">
                  <c:v>45496</c:v>
                </c:pt>
                <c:pt idx="838">
                  <c:v>45497</c:v>
                </c:pt>
                <c:pt idx="839">
                  <c:v>45498</c:v>
                </c:pt>
                <c:pt idx="840">
                  <c:v>45499</c:v>
                </c:pt>
                <c:pt idx="841">
                  <c:v>45502</c:v>
                </c:pt>
                <c:pt idx="842">
                  <c:v>45503</c:v>
                </c:pt>
                <c:pt idx="843">
                  <c:v>45504</c:v>
                </c:pt>
                <c:pt idx="844">
                  <c:v>45505</c:v>
                </c:pt>
                <c:pt idx="845">
                  <c:v>45506</c:v>
                </c:pt>
                <c:pt idx="846">
                  <c:v>45509</c:v>
                </c:pt>
                <c:pt idx="847">
                  <c:v>45510</c:v>
                </c:pt>
                <c:pt idx="848">
                  <c:v>45511</c:v>
                </c:pt>
                <c:pt idx="849">
                  <c:v>45512</c:v>
                </c:pt>
                <c:pt idx="850">
                  <c:v>45513</c:v>
                </c:pt>
                <c:pt idx="851">
                  <c:v>45516</c:v>
                </c:pt>
                <c:pt idx="852">
                  <c:v>45517</c:v>
                </c:pt>
                <c:pt idx="853">
                  <c:v>45518</c:v>
                </c:pt>
                <c:pt idx="854">
                  <c:v>45520</c:v>
                </c:pt>
                <c:pt idx="855">
                  <c:v>45523</c:v>
                </c:pt>
                <c:pt idx="856">
                  <c:v>45524</c:v>
                </c:pt>
                <c:pt idx="857">
                  <c:v>45525</c:v>
                </c:pt>
                <c:pt idx="858">
                  <c:v>45526</c:v>
                </c:pt>
                <c:pt idx="859">
                  <c:v>45527</c:v>
                </c:pt>
                <c:pt idx="860">
                  <c:v>45530</c:v>
                </c:pt>
                <c:pt idx="861">
                  <c:v>45531</c:v>
                </c:pt>
                <c:pt idx="862">
                  <c:v>45532</c:v>
                </c:pt>
                <c:pt idx="863">
                  <c:v>45533</c:v>
                </c:pt>
                <c:pt idx="864">
                  <c:v>45534</c:v>
                </c:pt>
                <c:pt idx="865">
                  <c:v>45537</c:v>
                </c:pt>
                <c:pt idx="866">
                  <c:v>45538</c:v>
                </c:pt>
                <c:pt idx="867">
                  <c:v>45539</c:v>
                </c:pt>
                <c:pt idx="868">
                  <c:v>45540</c:v>
                </c:pt>
                <c:pt idx="869">
                  <c:v>45541</c:v>
                </c:pt>
                <c:pt idx="870">
                  <c:v>45544</c:v>
                </c:pt>
                <c:pt idx="871">
                  <c:v>45545</c:v>
                </c:pt>
                <c:pt idx="872">
                  <c:v>45546</c:v>
                </c:pt>
                <c:pt idx="873">
                  <c:v>45547</c:v>
                </c:pt>
                <c:pt idx="874">
                  <c:v>45548</c:v>
                </c:pt>
                <c:pt idx="875">
                  <c:v>45551</c:v>
                </c:pt>
                <c:pt idx="876">
                  <c:v>45552</c:v>
                </c:pt>
                <c:pt idx="877">
                  <c:v>45553</c:v>
                </c:pt>
                <c:pt idx="878">
                  <c:v>45554</c:v>
                </c:pt>
                <c:pt idx="879">
                  <c:v>45555</c:v>
                </c:pt>
                <c:pt idx="880">
                  <c:v>45558</c:v>
                </c:pt>
                <c:pt idx="881">
                  <c:v>45559</c:v>
                </c:pt>
                <c:pt idx="882">
                  <c:v>45560</c:v>
                </c:pt>
                <c:pt idx="883">
                  <c:v>45561</c:v>
                </c:pt>
                <c:pt idx="884">
                  <c:v>45562</c:v>
                </c:pt>
                <c:pt idx="885">
                  <c:v>45565</c:v>
                </c:pt>
                <c:pt idx="886">
                  <c:v>45566</c:v>
                </c:pt>
                <c:pt idx="887">
                  <c:v>45568</c:v>
                </c:pt>
                <c:pt idx="888">
                  <c:v>45569</c:v>
                </c:pt>
                <c:pt idx="889">
                  <c:v>45572</c:v>
                </c:pt>
                <c:pt idx="890">
                  <c:v>45573</c:v>
                </c:pt>
                <c:pt idx="891">
                  <c:v>45574</c:v>
                </c:pt>
                <c:pt idx="892">
                  <c:v>45575</c:v>
                </c:pt>
                <c:pt idx="893">
                  <c:v>45576</c:v>
                </c:pt>
                <c:pt idx="894">
                  <c:v>45579</c:v>
                </c:pt>
                <c:pt idx="895">
                  <c:v>45580</c:v>
                </c:pt>
                <c:pt idx="896">
                  <c:v>45581</c:v>
                </c:pt>
                <c:pt idx="897">
                  <c:v>45582</c:v>
                </c:pt>
                <c:pt idx="898">
                  <c:v>45583</c:v>
                </c:pt>
                <c:pt idx="899">
                  <c:v>45586</c:v>
                </c:pt>
                <c:pt idx="900">
                  <c:v>45587</c:v>
                </c:pt>
                <c:pt idx="901">
                  <c:v>45588</c:v>
                </c:pt>
                <c:pt idx="902">
                  <c:v>45589</c:v>
                </c:pt>
                <c:pt idx="903">
                  <c:v>45590</c:v>
                </c:pt>
                <c:pt idx="904">
                  <c:v>45593</c:v>
                </c:pt>
                <c:pt idx="905">
                  <c:v>45594</c:v>
                </c:pt>
                <c:pt idx="906">
                  <c:v>45595</c:v>
                </c:pt>
                <c:pt idx="907">
                  <c:v>45596</c:v>
                </c:pt>
                <c:pt idx="908">
                  <c:v>45597</c:v>
                </c:pt>
                <c:pt idx="909">
                  <c:v>45600</c:v>
                </c:pt>
                <c:pt idx="910">
                  <c:v>45601</c:v>
                </c:pt>
                <c:pt idx="911">
                  <c:v>45602</c:v>
                </c:pt>
                <c:pt idx="912">
                  <c:v>45603</c:v>
                </c:pt>
                <c:pt idx="913">
                  <c:v>45604</c:v>
                </c:pt>
                <c:pt idx="914">
                  <c:v>45607</c:v>
                </c:pt>
                <c:pt idx="915">
                  <c:v>45608</c:v>
                </c:pt>
                <c:pt idx="916">
                  <c:v>45609</c:v>
                </c:pt>
                <c:pt idx="917">
                  <c:v>45610</c:v>
                </c:pt>
                <c:pt idx="918">
                  <c:v>45614</c:v>
                </c:pt>
                <c:pt idx="919">
                  <c:v>45615</c:v>
                </c:pt>
                <c:pt idx="920">
                  <c:v>45617</c:v>
                </c:pt>
                <c:pt idx="921">
                  <c:v>45618</c:v>
                </c:pt>
                <c:pt idx="922">
                  <c:v>45621</c:v>
                </c:pt>
                <c:pt idx="923">
                  <c:v>45622</c:v>
                </c:pt>
                <c:pt idx="924">
                  <c:v>45623</c:v>
                </c:pt>
                <c:pt idx="925">
                  <c:v>45624</c:v>
                </c:pt>
                <c:pt idx="926">
                  <c:v>45625</c:v>
                </c:pt>
                <c:pt idx="927">
                  <c:v>45628</c:v>
                </c:pt>
                <c:pt idx="928">
                  <c:v>45629</c:v>
                </c:pt>
                <c:pt idx="929">
                  <c:v>45630</c:v>
                </c:pt>
                <c:pt idx="930">
                  <c:v>45631</c:v>
                </c:pt>
                <c:pt idx="931">
                  <c:v>45632</c:v>
                </c:pt>
                <c:pt idx="932">
                  <c:v>45635</c:v>
                </c:pt>
                <c:pt idx="933">
                  <c:v>45636</c:v>
                </c:pt>
                <c:pt idx="934">
                  <c:v>45637</c:v>
                </c:pt>
                <c:pt idx="935">
                  <c:v>45638</c:v>
                </c:pt>
                <c:pt idx="936">
                  <c:v>45639</c:v>
                </c:pt>
                <c:pt idx="937">
                  <c:v>45642</c:v>
                </c:pt>
                <c:pt idx="938">
                  <c:v>45643</c:v>
                </c:pt>
                <c:pt idx="939">
                  <c:v>45644</c:v>
                </c:pt>
                <c:pt idx="940">
                  <c:v>45645</c:v>
                </c:pt>
                <c:pt idx="941">
                  <c:v>45646</c:v>
                </c:pt>
                <c:pt idx="942">
                  <c:v>45649</c:v>
                </c:pt>
                <c:pt idx="943">
                  <c:v>45650</c:v>
                </c:pt>
                <c:pt idx="944">
                  <c:v>45652</c:v>
                </c:pt>
                <c:pt idx="945">
                  <c:v>45653</c:v>
                </c:pt>
                <c:pt idx="946">
                  <c:v>45656</c:v>
                </c:pt>
                <c:pt idx="947">
                  <c:v>45657</c:v>
                </c:pt>
                <c:pt idx="948">
                  <c:v>45658</c:v>
                </c:pt>
                <c:pt idx="949">
                  <c:v>45659</c:v>
                </c:pt>
                <c:pt idx="950">
                  <c:v>45660</c:v>
                </c:pt>
                <c:pt idx="951">
                  <c:v>45663</c:v>
                </c:pt>
                <c:pt idx="952">
                  <c:v>45664</c:v>
                </c:pt>
                <c:pt idx="953">
                  <c:v>45665</c:v>
                </c:pt>
                <c:pt idx="954">
                  <c:v>45666</c:v>
                </c:pt>
                <c:pt idx="955">
                  <c:v>45667</c:v>
                </c:pt>
                <c:pt idx="956">
                  <c:v>45670</c:v>
                </c:pt>
                <c:pt idx="957">
                  <c:v>45671</c:v>
                </c:pt>
                <c:pt idx="958">
                  <c:v>45672</c:v>
                </c:pt>
                <c:pt idx="959">
                  <c:v>45673</c:v>
                </c:pt>
                <c:pt idx="960">
                  <c:v>45674</c:v>
                </c:pt>
                <c:pt idx="961">
                  <c:v>45677</c:v>
                </c:pt>
                <c:pt idx="962">
                  <c:v>45678</c:v>
                </c:pt>
                <c:pt idx="963">
                  <c:v>45679</c:v>
                </c:pt>
                <c:pt idx="964">
                  <c:v>45680</c:v>
                </c:pt>
                <c:pt idx="965">
                  <c:v>45681</c:v>
                </c:pt>
                <c:pt idx="966">
                  <c:v>45684</c:v>
                </c:pt>
                <c:pt idx="967">
                  <c:v>45685</c:v>
                </c:pt>
                <c:pt idx="968">
                  <c:v>45686</c:v>
                </c:pt>
                <c:pt idx="969">
                  <c:v>45687</c:v>
                </c:pt>
                <c:pt idx="970">
                  <c:v>45688</c:v>
                </c:pt>
                <c:pt idx="971">
                  <c:v>45689</c:v>
                </c:pt>
                <c:pt idx="972">
                  <c:v>45691</c:v>
                </c:pt>
                <c:pt idx="973">
                  <c:v>45692</c:v>
                </c:pt>
                <c:pt idx="974">
                  <c:v>45693</c:v>
                </c:pt>
                <c:pt idx="975">
                  <c:v>45694</c:v>
                </c:pt>
                <c:pt idx="976">
                  <c:v>45695</c:v>
                </c:pt>
                <c:pt idx="977">
                  <c:v>45698</c:v>
                </c:pt>
                <c:pt idx="978">
                  <c:v>45699</c:v>
                </c:pt>
                <c:pt idx="979">
                  <c:v>45700</c:v>
                </c:pt>
                <c:pt idx="980">
                  <c:v>45701</c:v>
                </c:pt>
                <c:pt idx="981">
                  <c:v>45702</c:v>
                </c:pt>
                <c:pt idx="982">
                  <c:v>45705</c:v>
                </c:pt>
                <c:pt idx="983">
                  <c:v>45706</c:v>
                </c:pt>
                <c:pt idx="984">
                  <c:v>45707</c:v>
                </c:pt>
                <c:pt idx="985">
                  <c:v>45708</c:v>
                </c:pt>
                <c:pt idx="986">
                  <c:v>45709</c:v>
                </c:pt>
                <c:pt idx="987">
                  <c:v>45712</c:v>
                </c:pt>
                <c:pt idx="988">
                  <c:v>45713</c:v>
                </c:pt>
                <c:pt idx="989">
                  <c:v>45715</c:v>
                </c:pt>
                <c:pt idx="990">
                  <c:v>45716</c:v>
                </c:pt>
                <c:pt idx="991">
                  <c:v>45719</c:v>
                </c:pt>
                <c:pt idx="992">
                  <c:v>45720</c:v>
                </c:pt>
                <c:pt idx="993">
                  <c:v>45721</c:v>
                </c:pt>
                <c:pt idx="994">
                  <c:v>45722</c:v>
                </c:pt>
                <c:pt idx="995">
                  <c:v>45723</c:v>
                </c:pt>
                <c:pt idx="996">
                  <c:v>45726</c:v>
                </c:pt>
                <c:pt idx="997">
                  <c:v>45727</c:v>
                </c:pt>
                <c:pt idx="998">
                  <c:v>45728</c:v>
                </c:pt>
                <c:pt idx="999">
                  <c:v>45729</c:v>
                </c:pt>
                <c:pt idx="1000">
                  <c:v>45733</c:v>
                </c:pt>
                <c:pt idx="1001">
                  <c:v>45734</c:v>
                </c:pt>
                <c:pt idx="1002">
                  <c:v>45735</c:v>
                </c:pt>
                <c:pt idx="1003">
                  <c:v>45736</c:v>
                </c:pt>
                <c:pt idx="1004">
                  <c:v>45737</c:v>
                </c:pt>
                <c:pt idx="1005">
                  <c:v>45740</c:v>
                </c:pt>
                <c:pt idx="1006">
                  <c:v>45741</c:v>
                </c:pt>
                <c:pt idx="1007">
                  <c:v>45742</c:v>
                </c:pt>
                <c:pt idx="1008">
                  <c:v>45743</c:v>
                </c:pt>
                <c:pt idx="1009">
                  <c:v>45744</c:v>
                </c:pt>
                <c:pt idx="1010">
                  <c:v>45748</c:v>
                </c:pt>
                <c:pt idx="1011">
                  <c:v>45749</c:v>
                </c:pt>
                <c:pt idx="1012">
                  <c:v>45750</c:v>
                </c:pt>
                <c:pt idx="1013">
                  <c:v>45751</c:v>
                </c:pt>
                <c:pt idx="1014">
                  <c:v>45754</c:v>
                </c:pt>
                <c:pt idx="1015">
                  <c:v>45755</c:v>
                </c:pt>
                <c:pt idx="1016">
                  <c:v>45756</c:v>
                </c:pt>
                <c:pt idx="1017">
                  <c:v>45758</c:v>
                </c:pt>
                <c:pt idx="1018">
                  <c:v>45762</c:v>
                </c:pt>
                <c:pt idx="1019">
                  <c:v>45763</c:v>
                </c:pt>
                <c:pt idx="1020">
                  <c:v>45764</c:v>
                </c:pt>
                <c:pt idx="1021">
                  <c:v>45768</c:v>
                </c:pt>
                <c:pt idx="1022">
                  <c:v>45769</c:v>
                </c:pt>
                <c:pt idx="1023">
                  <c:v>45770</c:v>
                </c:pt>
                <c:pt idx="1024">
                  <c:v>45771</c:v>
                </c:pt>
                <c:pt idx="1025">
                  <c:v>45772</c:v>
                </c:pt>
                <c:pt idx="1026">
                  <c:v>45775</c:v>
                </c:pt>
                <c:pt idx="1027">
                  <c:v>45776</c:v>
                </c:pt>
                <c:pt idx="1028">
                  <c:v>45777</c:v>
                </c:pt>
                <c:pt idx="1029">
                  <c:v>45779</c:v>
                </c:pt>
                <c:pt idx="1030">
                  <c:v>45782</c:v>
                </c:pt>
                <c:pt idx="1031">
                  <c:v>45783</c:v>
                </c:pt>
                <c:pt idx="1032">
                  <c:v>45784</c:v>
                </c:pt>
                <c:pt idx="1033">
                  <c:v>45785</c:v>
                </c:pt>
                <c:pt idx="1034">
                  <c:v>45786</c:v>
                </c:pt>
                <c:pt idx="1035">
                  <c:v>45789</c:v>
                </c:pt>
                <c:pt idx="1036">
                  <c:v>45790</c:v>
                </c:pt>
                <c:pt idx="1037">
                  <c:v>45791</c:v>
                </c:pt>
                <c:pt idx="1038">
                  <c:v>45792</c:v>
                </c:pt>
                <c:pt idx="1039">
                  <c:v>45793</c:v>
                </c:pt>
                <c:pt idx="1040">
                  <c:v>45796</c:v>
                </c:pt>
                <c:pt idx="1041">
                  <c:v>45797</c:v>
                </c:pt>
                <c:pt idx="1042">
                  <c:v>45798</c:v>
                </c:pt>
                <c:pt idx="1043">
                  <c:v>45799</c:v>
                </c:pt>
                <c:pt idx="1044">
                  <c:v>45800</c:v>
                </c:pt>
                <c:pt idx="1045">
                  <c:v>45803</c:v>
                </c:pt>
                <c:pt idx="1046">
                  <c:v>45804</c:v>
                </c:pt>
                <c:pt idx="1047">
                  <c:v>45805</c:v>
                </c:pt>
                <c:pt idx="1048">
                  <c:v>45806</c:v>
                </c:pt>
                <c:pt idx="1049">
                  <c:v>45807</c:v>
                </c:pt>
                <c:pt idx="1050">
                  <c:v>45810</c:v>
                </c:pt>
                <c:pt idx="1051">
                  <c:v>45811</c:v>
                </c:pt>
                <c:pt idx="1052">
                  <c:v>45812</c:v>
                </c:pt>
                <c:pt idx="1053">
                  <c:v>45813</c:v>
                </c:pt>
                <c:pt idx="1054">
                  <c:v>45814</c:v>
                </c:pt>
                <c:pt idx="1055">
                  <c:v>45817</c:v>
                </c:pt>
                <c:pt idx="1056">
                  <c:v>45818</c:v>
                </c:pt>
                <c:pt idx="1057">
                  <c:v>45819</c:v>
                </c:pt>
                <c:pt idx="1058">
                  <c:v>45820</c:v>
                </c:pt>
                <c:pt idx="1059">
                  <c:v>45821</c:v>
                </c:pt>
                <c:pt idx="1060">
                  <c:v>45824</c:v>
                </c:pt>
                <c:pt idx="1061">
                  <c:v>45825</c:v>
                </c:pt>
                <c:pt idx="1062">
                  <c:v>45826</c:v>
                </c:pt>
                <c:pt idx="1063">
                  <c:v>45827</c:v>
                </c:pt>
                <c:pt idx="1064">
                  <c:v>45828</c:v>
                </c:pt>
                <c:pt idx="1065">
                  <c:v>45831</c:v>
                </c:pt>
                <c:pt idx="1066">
                  <c:v>45832</c:v>
                </c:pt>
                <c:pt idx="1067">
                  <c:v>45833</c:v>
                </c:pt>
                <c:pt idx="1068">
                  <c:v>45834</c:v>
                </c:pt>
                <c:pt idx="1069">
                  <c:v>45835</c:v>
                </c:pt>
                <c:pt idx="1070">
                  <c:v>45838</c:v>
                </c:pt>
                <c:pt idx="1071">
                  <c:v>45839</c:v>
                </c:pt>
                <c:pt idx="1072">
                  <c:v>45840</c:v>
                </c:pt>
                <c:pt idx="1073">
                  <c:v>45841</c:v>
                </c:pt>
                <c:pt idx="1074">
                  <c:v>45842</c:v>
                </c:pt>
                <c:pt idx="1075">
                  <c:v>45845</c:v>
                </c:pt>
                <c:pt idx="1076">
                  <c:v>45846</c:v>
                </c:pt>
                <c:pt idx="1077">
                  <c:v>45847</c:v>
                </c:pt>
                <c:pt idx="1078">
                  <c:v>45848</c:v>
                </c:pt>
                <c:pt idx="1079">
                  <c:v>45849</c:v>
                </c:pt>
                <c:pt idx="1080">
                  <c:v>45852</c:v>
                </c:pt>
                <c:pt idx="1081">
                  <c:v>45853</c:v>
                </c:pt>
                <c:pt idx="1082">
                  <c:v>45854</c:v>
                </c:pt>
                <c:pt idx="1083">
                  <c:v>45855</c:v>
                </c:pt>
                <c:pt idx="1084">
                  <c:v>45856</c:v>
                </c:pt>
                <c:pt idx="1085">
                  <c:v>45859</c:v>
                </c:pt>
                <c:pt idx="1086">
                  <c:v>45860</c:v>
                </c:pt>
                <c:pt idx="1087">
                  <c:v>45861</c:v>
                </c:pt>
                <c:pt idx="1088">
                  <c:v>45862</c:v>
                </c:pt>
                <c:pt idx="1089">
                  <c:v>45863</c:v>
                </c:pt>
                <c:pt idx="1090">
                  <c:v>45866</c:v>
                </c:pt>
                <c:pt idx="1091">
                  <c:v>45867</c:v>
                </c:pt>
                <c:pt idx="1092">
                  <c:v>45868</c:v>
                </c:pt>
                <c:pt idx="1093">
                  <c:v>45869</c:v>
                </c:pt>
                <c:pt idx="1094">
                  <c:v>45870</c:v>
                </c:pt>
                <c:pt idx="1095">
                  <c:v>45873</c:v>
                </c:pt>
                <c:pt idx="1096">
                  <c:v>45874</c:v>
                </c:pt>
                <c:pt idx="1097">
                  <c:v>45875</c:v>
                </c:pt>
                <c:pt idx="1098">
                  <c:v>45876</c:v>
                </c:pt>
                <c:pt idx="1099">
                  <c:v>45877</c:v>
                </c:pt>
                <c:pt idx="1100">
                  <c:v>45880</c:v>
                </c:pt>
                <c:pt idx="1101">
                  <c:v>45881</c:v>
                </c:pt>
                <c:pt idx="1102">
                  <c:v>45882</c:v>
                </c:pt>
                <c:pt idx="1103">
                  <c:v>45883</c:v>
                </c:pt>
                <c:pt idx="1104">
                  <c:v>45887</c:v>
                </c:pt>
                <c:pt idx="1105">
                  <c:v>45888</c:v>
                </c:pt>
                <c:pt idx="1106">
                  <c:v>45889</c:v>
                </c:pt>
                <c:pt idx="1107">
                  <c:v>45890</c:v>
                </c:pt>
                <c:pt idx="1108">
                  <c:v>45891</c:v>
                </c:pt>
                <c:pt idx="1109">
                  <c:v>45894</c:v>
                </c:pt>
                <c:pt idx="1110">
                  <c:v>45895</c:v>
                </c:pt>
                <c:pt idx="1111">
                  <c:v>45897</c:v>
                </c:pt>
                <c:pt idx="1112">
                  <c:v>45898</c:v>
                </c:pt>
                <c:pt idx="1113">
                  <c:v>45901</c:v>
                </c:pt>
                <c:pt idx="1114">
                  <c:v>45902</c:v>
                </c:pt>
                <c:pt idx="1115">
                  <c:v>45903</c:v>
                </c:pt>
                <c:pt idx="1116">
                  <c:v>45904</c:v>
                </c:pt>
                <c:pt idx="1117">
                  <c:v>45905</c:v>
                </c:pt>
                <c:pt idx="1118">
                  <c:v>45908</c:v>
                </c:pt>
                <c:pt idx="1119">
                  <c:v>45909</c:v>
                </c:pt>
                <c:pt idx="1120">
                  <c:v>45910</c:v>
                </c:pt>
                <c:pt idx="1121">
                  <c:v>45911</c:v>
                </c:pt>
                <c:pt idx="1122">
                  <c:v>45912</c:v>
                </c:pt>
                <c:pt idx="1123">
                  <c:v>45915</c:v>
                </c:pt>
                <c:pt idx="1124">
                  <c:v>45916</c:v>
                </c:pt>
                <c:pt idx="1125">
                  <c:v>45917</c:v>
                </c:pt>
                <c:pt idx="1126">
                  <c:v>45918</c:v>
                </c:pt>
                <c:pt idx="1127">
                  <c:v>45919</c:v>
                </c:pt>
                <c:pt idx="1128">
                  <c:v>45922</c:v>
                </c:pt>
                <c:pt idx="1129">
                  <c:v>45923</c:v>
                </c:pt>
                <c:pt idx="1130">
                  <c:v>45924</c:v>
                </c:pt>
                <c:pt idx="1131">
                  <c:v>45925</c:v>
                </c:pt>
                <c:pt idx="1132">
                  <c:v>45926</c:v>
                </c:pt>
                <c:pt idx="1133">
                  <c:v>45929</c:v>
                </c:pt>
                <c:pt idx="1134">
                  <c:v>45930</c:v>
                </c:pt>
                <c:pt idx="1135">
                  <c:v>45931</c:v>
                </c:pt>
                <c:pt idx="1136">
                  <c:v>45933</c:v>
                </c:pt>
                <c:pt idx="1137">
                  <c:v>45936</c:v>
                </c:pt>
                <c:pt idx="1138">
                  <c:v>45937</c:v>
                </c:pt>
                <c:pt idx="1139">
                  <c:v>45938</c:v>
                </c:pt>
                <c:pt idx="1140">
                  <c:v>45939</c:v>
                </c:pt>
                <c:pt idx="1141">
                  <c:v>45940</c:v>
                </c:pt>
                <c:pt idx="1142">
                  <c:v>45943</c:v>
                </c:pt>
                <c:pt idx="1143">
                  <c:v>45944</c:v>
                </c:pt>
                <c:pt idx="1144">
                  <c:v>45945</c:v>
                </c:pt>
                <c:pt idx="1145">
                  <c:v>45946</c:v>
                </c:pt>
                <c:pt idx="1146">
                  <c:v>45947</c:v>
                </c:pt>
                <c:pt idx="1147">
                  <c:v>45950</c:v>
                </c:pt>
                <c:pt idx="1148">
                  <c:v>45951</c:v>
                </c:pt>
                <c:pt idx="1149">
                  <c:v>45953</c:v>
                </c:pt>
                <c:pt idx="1150">
                  <c:v>45954</c:v>
                </c:pt>
                <c:pt idx="1151">
                  <c:v>45957</c:v>
                </c:pt>
                <c:pt idx="1152">
                  <c:v>45958</c:v>
                </c:pt>
                <c:pt idx="1153">
                  <c:v>45959</c:v>
                </c:pt>
                <c:pt idx="1154">
                  <c:v>45960</c:v>
                </c:pt>
                <c:pt idx="1155">
                  <c:v>45961</c:v>
                </c:pt>
                <c:pt idx="1156">
                  <c:v>45964</c:v>
                </c:pt>
                <c:pt idx="1157">
                  <c:v>45965</c:v>
                </c:pt>
                <c:pt idx="1158">
                  <c:v>45967</c:v>
                </c:pt>
                <c:pt idx="1159">
                  <c:v>45968</c:v>
                </c:pt>
                <c:pt idx="1160">
                  <c:v>45971</c:v>
                </c:pt>
                <c:pt idx="1161">
                  <c:v>45972</c:v>
                </c:pt>
                <c:pt idx="1162">
                  <c:v>45973</c:v>
                </c:pt>
                <c:pt idx="1163">
                  <c:v>45974</c:v>
                </c:pt>
                <c:pt idx="1164">
                  <c:v>45975</c:v>
                </c:pt>
                <c:pt idx="1165">
                  <c:v>45978</c:v>
                </c:pt>
                <c:pt idx="1166">
                  <c:v>45979</c:v>
                </c:pt>
                <c:pt idx="1167">
                  <c:v>45980</c:v>
                </c:pt>
                <c:pt idx="1168">
                  <c:v>45981</c:v>
                </c:pt>
                <c:pt idx="1169">
                  <c:v>45982</c:v>
                </c:pt>
                <c:pt idx="1170">
                  <c:v>45985</c:v>
                </c:pt>
                <c:pt idx="1171">
                  <c:v>45986</c:v>
                </c:pt>
                <c:pt idx="1172">
                  <c:v>45987</c:v>
                </c:pt>
                <c:pt idx="1173">
                  <c:v>45988</c:v>
                </c:pt>
                <c:pt idx="1174">
                  <c:v>45989</c:v>
                </c:pt>
                <c:pt idx="1175">
                  <c:v>45992</c:v>
                </c:pt>
                <c:pt idx="1176">
                  <c:v>45993</c:v>
                </c:pt>
                <c:pt idx="1177">
                  <c:v>45994</c:v>
                </c:pt>
                <c:pt idx="1178">
                  <c:v>45995</c:v>
                </c:pt>
                <c:pt idx="1179">
                  <c:v>45996</c:v>
                </c:pt>
                <c:pt idx="1180">
                  <c:v>45999</c:v>
                </c:pt>
                <c:pt idx="1181">
                  <c:v>46000</c:v>
                </c:pt>
                <c:pt idx="1182">
                  <c:v>46001</c:v>
                </c:pt>
                <c:pt idx="1183">
                  <c:v>46002</c:v>
                </c:pt>
                <c:pt idx="1184">
                  <c:v>46003</c:v>
                </c:pt>
                <c:pt idx="1185">
                  <c:v>46006</c:v>
                </c:pt>
                <c:pt idx="1186">
                  <c:v>46007</c:v>
                </c:pt>
                <c:pt idx="1187">
                  <c:v>46008</c:v>
                </c:pt>
                <c:pt idx="1188">
                  <c:v>46009</c:v>
                </c:pt>
                <c:pt idx="1189">
                  <c:v>46010</c:v>
                </c:pt>
                <c:pt idx="1190">
                  <c:v>46013</c:v>
                </c:pt>
                <c:pt idx="1191">
                  <c:v>46014</c:v>
                </c:pt>
                <c:pt idx="1192">
                  <c:v>46015</c:v>
                </c:pt>
                <c:pt idx="1193">
                  <c:v>46017</c:v>
                </c:pt>
                <c:pt idx="1194">
                  <c:v>46020</c:v>
                </c:pt>
                <c:pt idx="1195">
                  <c:v>46021</c:v>
                </c:pt>
                <c:pt idx="1196">
                  <c:v>46022</c:v>
                </c:pt>
                <c:pt idx="1197">
                  <c:v>46023</c:v>
                </c:pt>
                <c:pt idx="1198">
                  <c:v>46024</c:v>
                </c:pt>
                <c:pt idx="1199">
                  <c:v>46027</c:v>
                </c:pt>
                <c:pt idx="1200">
                  <c:v>46028</c:v>
                </c:pt>
                <c:pt idx="1201">
                  <c:v>46029</c:v>
                </c:pt>
                <c:pt idx="1202">
                  <c:v>46030</c:v>
                </c:pt>
                <c:pt idx="1203">
                  <c:v>46031</c:v>
                </c:pt>
                <c:pt idx="1204">
                  <c:v>46034</c:v>
                </c:pt>
                <c:pt idx="1205">
                  <c:v>46035</c:v>
                </c:pt>
                <c:pt idx="1206">
                  <c:v>46036</c:v>
                </c:pt>
                <c:pt idx="1207">
                  <c:v>46038</c:v>
                </c:pt>
                <c:pt idx="1208">
                  <c:v>46041</c:v>
                </c:pt>
                <c:pt idx="1209">
                  <c:v>46042</c:v>
                </c:pt>
                <c:pt idx="1210">
                  <c:v>46043</c:v>
                </c:pt>
                <c:pt idx="1211">
                  <c:v>46044</c:v>
                </c:pt>
                <c:pt idx="1212">
                  <c:v>46045</c:v>
                </c:pt>
                <c:pt idx="1213">
                  <c:v>46049</c:v>
                </c:pt>
                <c:pt idx="1214">
                  <c:v>46050</c:v>
                </c:pt>
                <c:pt idx="1215">
                  <c:v>46051</c:v>
                </c:pt>
                <c:pt idx="1216">
                  <c:v>46052</c:v>
                </c:pt>
                <c:pt idx="1217">
                  <c:v>46054</c:v>
                </c:pt>
                <c:pt idx="1218">
                  <c:v>46055</c:v>
                </c:pt>
                <c:pt idx="1219">
                  <c:v>46056</c:v>
                </c:pt>
                <c:pt idx="1220">
                  <c:v>46057</c:v>
                </c:pt>
                <c:pt idx="1221">
                  <c:v>46058</c:v>
                </c:pt>
                <c:pt idx="1222">
                  <c:v>46059</c:v>
                </c:pt>
                <c:pt idx="1223">
                  <c:v>46062</c:v>
                </c:pt>
                <c:pt idx="1224">
                  <c:v>46063</c:v>
                </c:pt>
                <c:pt idx="1225">
                  <c:v>46064</c:v>
                </c:pt>
                <c:pt idx="1226">
                  <c:v>46065</c:v>
                </c:pt>
                <c:pt idx="1227">
                  <c:v>46066</c:v>
                </c:pt>
                <c:pt idx="1228">
                  <c:v>46069</c:v>
                </c:pt>
                <c:pt idx="1229">
                  <c:v>46070</c:v>
                </c:pt>
                <c:pt idx="1230">
                  <c:v>46071</c:v>
                </c:pt>
                <c:pt idx="1231">
                  <c:v>46072</c:v>
                </c:pt>
                <c:pt idx="1232">
                  <c:v>46073</c:v>
                </c:pt>
                <c:pt idx="1233">
                  <c:v>46076</c:v>
                </c:pt>
                <c:pt idx="1234">
                  <c:v>46077</c:v>
                </c:pt>
                <c:pt idx="1235">
                  <c:v>46078</c:v>
                </c:pt>
                <c:pt idx="1236">
                  <c:v>46079</c:v>
                </c:pt>
                <c:pt idx="1237">
                  <c:v>46080</c:v>
                </c:pt>
                <c:pt idx="1238">
                  <c:v>46083</c:v>
                </c:pt>
                <c:pt idx="1239">
                  <c:v>46085</c:v>
                </c:pt>
              </c:numCache>
            </c:numRef>
          </c:cat>
          <c:val>
            <c:numRef>
              <c:f>'Raw Data'!$O$3:$O$1242</c:f>
              <c:numCache>
                <c:formatCode>#,##0.00</c:formatCode>
                <c:ptCount val="1240"/>
                <c:pt idx="0">
                  <c:v>2196.9</c:v>
                </c:pt>
                <c:pt idx="1">
                  <c:v>2201.1</c:v>
                </c:pt>
                <c:pt idx="2">
                  <c:v>2174.5500000000002</c:v>
                </c:pt>
                <c:pt idx="3">
                  <c:v>2198.5</c:v>
                </c:pt>
                <c:pt idx="4">
                  <c:v>2227.85</c:v>
                </c:pt>
                <c:pt idx="5">
                  <c:v>2204.75</c:v>
                </c:pt>
                <c:pt idx="6">
                  <c:v>2210.85</c:v>
                </c:pt>
                <c:pt idx="7">
                  <c:v>2244.0500000000002</c:v>
                </c:pt>
                <c:pt idx="8">
                  <c:v>2226.3000000000002</c:v>
                </c:pt>
                <c:pt idx="9">
                  <c:v>2215.1999999999998</c:v>
                </c:pt>
                <c:pt idx="10">
                  <c:v>2312.0500000000002</c:v>
                </c:pt>
                <c:pt idx="11">
                  <c:v>2353.1999999999998</c:v>
                </c:pt>
                <c:pt idx="12">
                  <c:v>2337.3000000000002</c:v>
                </c:pt>
                <c:pt idx="13">
                  <c:v>2318.6</c:v>
                </c:pt>
                <c:pt idx="14">
                  <c:v>2237.0500000000002</c:v>
                </c:pt>
                <c:pt idx="15">
                  <c:v>2317.9</c:v>
                </c:pt>
                <c:pt idx="16">
                  <c:v>2398.75</c:v>
                </c:pt>
                <c:pt idx="17">
                  <c:v>2431.5</c:v>
                </c:pt>
                <c:pt idx="18">
                  <c:v>2399.1</c:v>
                </c:pt>
                <c:pt idx="19">
                  <c:v>2373.1999999999998</c:v>
                </c:pt>
                <c:pt idx="20">
                  <c:v>2408.3000000000002</c:v>
                </c:pt>
                <c:pt idx="21">
                  <c:v>2405.25</c:v>
                </c:pt>
                <c:pt idx="22">
                  <c:v>2409.9</c:v>
                </c:pt>
                <c:pt idx="23">
                  <c:v>2476</c:v>
                </c:pt>
                <c:pt idx="24">
                  <c:v>2462</c:v>
                </c:pt>
                <c:pt idx="25">
                  <c:v>2454.4</c:v>
                </c:pt>
                <c:pt idx="26">
                  <c:v>2460.65</c:v>
                </c:pt>
                <c:pt idx="27">
                  <c:v>2458.9</c:v>
                </c:pt>
                <c:pt idx="28">
                  <c:v>2436.65</c:v>
                </c:pt>
                <c:pt idx="29">
                  <c:v>2397.4499999999998</c:v>
                </c:pt>
                <c:pt idx="30">
                  <c:v>2349.4</c:v>
                </c:pt>
                <c:pt idx="31">
                  <c:v>2307.75</c:v>
                </c:pt>
                <c:pt idx="32">
                  <c:v>2360.65</c:v>
                </c:pt>
                <c:pt idx="33">
                  <c:v>2379.85</c:v>
                </c:pt>
                <c:pt idx="34">
                  <c:v>2406.5500000000002</c:v>
                </c:pt>
                <c:pt idx="35">
                  <c:v>2407.6</c:v>
                </c:pt>
                <c:pt idx="36">
                  <c:v>2353.75</c:v>
                </c:pt>
                <c:pt idx="37">
                  <c:v>2408</c:v>
                </c:pt>
                <c:pt idx="38">
                  <c:v>2407.65</c:v>
                </c:pt>
                <c:pt idx="39">
                  <c:v>2394.65</c:v>
                </c:pt>
                <c:pt idx="40">
                  <c:v>2390</c:v>
                </c:pt>
                <c:pt idx="41">
                  <c:v>2411.1999999999998</c:v>
                </c:pt>
                <c:pt idx="42">
                  <c:v>2432.9</c:v>
                </c:pt>
                <c:pt idx="43">
                  <c:v>2402.1</c:v>
                </c:pt>
                <c:pt idx="44">
                  <c:v>2328.9499999999998</c:v>
                </c:pt>
                <c:pt idx="45">
                  <c:v>2376.85</c:v>
                </c:pt>
                <c:pt idx="46">
                  <c:v>2376.25</c:v>
                </c:pt>
                <c:pt idx="47">
                  <c:v>2374.25</c:v>
                </c:pt>
                <c:pt idx="48">
                  <c:v>2359.75</c:v>
                </c:pt>
                <c:pt idx="49">
                  <c:v>2344.15</c:v>
                </c:pt>
                <c:pt idx="50">
                  <c:v>2362.25</c:v>
                </c:pt>
                <c:pt idx="51">
                  <c:v>2336.5500000000002</c:v>
                </c:pt>
                <c:pt idx="52">
                  <c:v>2344.0500000000002</c:v>
                </c:pt>
                <c:pt idx="53">
                  <c:v>2354</c:v>
                </c:pt>
                <c:pt idx="54">
                  <c:v>2326.4</c:v>
                </c:pt>
                <c:pt idx="55">
                  <c:v>2321.6999999999998</c:v>
                </c:pt>
                <c:pt idx="56">
                  <c:v>2340.0500000000002</c:v>
                </c:pt>
                <c:pt idx="57">
                  <c:v>2358.3000000000002</c:v>
                </c:pt>
                <c:pt idx="58">
                  <c:v>2358.8000000000002</c:v>
                </c:pt>
                <c:pt idx="59">
                  <c:v>2363.25</c:v>
                </c:pt>
                <c:pt idx="60">
                  <c:v>2342.0500000000002</c:v>
                </c:pt>
                <c:pt idx="61">
                  <c:v>2339.3000000000002</c:v>
                </c:pt>
                <c:pt idx="62">
                  <c:v>2359</c:v>
                </c:pt>
                <c:pt idx="63">
                  <c:v>2356</c:v>
                </c:pt>
                <c:pt idx="64">
                  <c:v>2378.8000000000002</c:v>
                </c:pt>
                <c:pt idx="65">
                  <c:v>2366.5</c:v>
                </c:pt>
                <c:pt idx="66">
                  <c:v>2364.6</c:v>
                </c:pt>
                <c:pt idx="67">
                  <c:v>2391.9499999999998</c:v>
                </c:pt>
                <c:pt idx="68">
                  <c:v>2407.9</c:v>
                </c:pt>
                <c:pt idx="69">
                  <c:v>2417.6999999999998</c:v>
                </c:pt>
                <c:pt idx="70">
                  <c:v>2482.9</c:v>
                </c:pt>
                <c:pt idx="71">
                  <c:v>2514.35</c:v>
                </c:pt>
                <c:pt idx="72">
                  <c:v>2490.25</c:v>
                </c:pt>
                <c:pt idx="73">
                  <c:v>2480.5</c:v>
                </c:pt>
                <c:pt idx="74">
                  <c:v>2490.15</c:v>
                </c:pt>
                <c:pt idx="75">
                  <c:v>2448.65</c:v>
                </c:pt>
                <c:pt idx="76">
                  <c:v>2460.1999999999998</c:v>
                </c:pt>
                <c:pt idx="77">
                  <c:v>2492.5500000000002</c:v>
                </c:pt>
                <c:pt idx="78">
                  <c:v>2471.3000000000002</c:v>
                </c:pt>
                <c:pt idx="79">
                  <c:v>2478</c:v>
                </c:pt>
                <c:pt idx="80">
                  <c:v>2487.3000000000002</c:v>
                </c:pt>
                <c:pt idx="81">
                  <c:v>2499.0500000000002</c:v>
                </c:pt>
                <c:pt idx="82">
                  <c:v>2472.5</c:v>
                </c:pt>
                <c:pt idx="83">
                  <c:v>2481.65</c:v>
                </c:pt>
                <c:pt idx="84">
                  <c:v>2447.5500000000002</c:v>
                </c:pt>
                <c:pt idx="85">
                  <c:v>2451.4499999999998</c:v>
                </c:pt>
                <c:pt idx="86">
                  <c:v>2444.15</c:v>
                </c:pt>
                <c:pt idx="87">
                  <c:v>2436.6999999999998</c:v>
                </c:pt>
                <c:pt idx="88">
                  <c:v>2414.85</c:v>
                </c:pt>
                <c:pt idx="89">
                  <c:v>2412.35</c:v>
                </c:pt>
                <c:pt idx="90">
                  <c:v>2417.4</c:v>
                </c:pt>
                <c:pt idx="91">
                  <c:v>2408.65</c:v>
                </c:pt>
                <c:pt idx="92">
                  <c:v>2434.9</c:v>
                </c:pt>
                <c:pt idx="93">
                  <c:v>2378.15</c:v>
                </c:pt>
                <c:pt idx="94">
                  <c:v>2358.1</c:v>
                </c:pt>
                <c:pt idx="95">
                  <c:v>2348.6999999999998</c:v>
                </c:pt>
                <c:pt idx="96">
                  <c:v>2342.4</c:v>
                </c:pt>
                <c:pt idx="97">
                  <c:v>2361.4</c:v>
                </c:pt>
                <c:pt idx="98">
                  <c:v>2334.75</c:v>
                </c:pt>
                <c:pt idx="99">
                  <c:v>2333.3000000000002</c:v>
                </c:pt>
                <c:pt idx="100">
                  <c:v>2332.8000000000002</c:v>
                </c:pt>
                <c:pt idx="101">
                  <c:v>2386.85</c:v>
                </c:pt>
                <c:pt idx="102">
                  <c:v>2377.1</c:v>
                </c:pt>
                <c:pt idx="103">
                  <c:v>2357.6999999999998</c:v>
                </c:pt>
                <c:pt idx="104">
                  <c:v>2371.5</c:v>
                </c:pt>
                <c:pt idx="105">
                  <c:v>2384.5</c:v>
                </c:pt>
                <c:pt idx="106">
                  <c:v>2381.8000000000002</c:v>
                </c:pt>
                <c:pt idx="107">
                  <c:v>2390.4499999999998</c:v>
                </c:pt>
                <c:pt idx="108">
                  <c:v>2392.3000000000002</c:v>
                </c:pt>
                <c:pt idx="109">
                  <c:v>2404.5</c:v>
                </c:pt>
                <c:pt idx="110">
                  <c:v>2426.4</c:v>
                </c:pt>
                <c:pt idx="111">
                  <c:v>2483.8000000000002</c:v>
                </c:pt>
                <c:pt idx="112">
                  <c:v>2486.0500000000002</c:v>
                </c:pt>
                <c:pt idx="113">
                  <c:v>2619.4</c:v>
                </c:pt>
                <c:pt idx="114">
                  <c:v>2634.15</c:v>
                </c:pt>
                <c:pt idx="115">
                  <c:v>2633</c:v>
                </c:pt>
                <c:pt idx="116">
                  <c:v>2645</c:v>
                </c:pt>
                <c:pt idx="117">
                  <c:v>2666.4</c:v>
                </c:pt>
                <c:pt idx="118">
                  <c:v>2677.95</c:v>
                </c:pt>
                <c:pt idx="119">
                  <c:v>2687.7</c:v>
                </c:pt>
                <c:pt idx="120">
                  <c:v>2724.1</c:v>
                </c:pt>
                <c:pt idx="121">
                  <c:v>2732.9</c:v>
                </c:pt>
                <c:pt idx="122">
                  <c:v>2801.05</c:v>
                </c:pt>
                <c:pt idx="123">
                  <c:v>2766.7</c:v>
                </c:pt>
                <c:pt idx="124">
                  <c:v>2780.6</c:v>
                </c:pt>
                <c:pt idx="125">
                  <c:v>2777.7</c:v>
                </c:pt>
                <c:pt idx="126">
                  <c:v>2800.9</c:v>
                </c:pt>
                <c:pt idx="127">
                  <c:v>2810.65</c:v>
                </c:pt>
                <c:pt idx="128">
                  <c:v>2786.35</c:v>
                </c:pt>
                <c:pt idx="129">
                  <c:v>2762.55</c:v>
                </c:pt>
                <c:pt idx="130">
                  <c:v>2775.45</c:v>
                </c:pt>
                <c:pt idx="131">
                  <c:v>2768.25</c:v>
                </c:pt>
                <c:pt idx="132">
                  <c:v>2722.25</c:v>
                </c:pt>
                <c:pt idx="133">
                  <c:v>2800.35</c:v>
                </c:pt>
                <c:pt idx="134">
                  <c:v>2812.45</c:v>
                </c:pt>
                <c:pt idx="135">
                  <c:v>2784.5</c:v>
                </c:pt>
                <c:pt idx="136">
                  <c:v>2782.3</c:v>
                </c:pt>
                <c:pt idx="137">
                  <c:v>2746.65</c:v>
                </c:pt>
                <c:pt idx="138">
                  <c:v>2709.5</c:v>
                </c:pt>
                <c:pt idx="139">
                  <c:v>2723.85</c:v>
                </c:pt>
                <c:pt idx="140">
                  <c:v>2685.3</c:v>
                </c:pt>
                <c:pt idx="141">
                  <c:v>2701.8</c:v>
                </c:pt>
                <c:pt idx="142">
                  <c:v>2704.05</c:v>
                </c:pt>
                <c:pt idx="143">
                  <c:v>2686.2</c:v>
                </c:pt>
                <c:pt idx="144">
                  <c:v>2708.65</c:v>
                </c:pt>
                <c:pt idx="145">
                  <c:v>2686.05</c:v>
                </c:pt>
                <c:pt idx="146">
                  <c:v>2669.4</c:v>
                </c:pt>
                <c:pt idx="147">
                  <c:v>2640.05</c:v>
                </c:pt>
                <c:pt idx="148">
                  <c:v>2645.1</c:v>
                </c:pt>
                <c:pt idx="149">
                  <c:v>2676.15</c:v>
                </c:pt>
                <c:pt idx="150">
                  <c:v>2646.75</c:v>
                </c:pt>
                <c:pt idx="151">
                  <c:v>2649.55</c:v>
                </c:pt>
                <c:pt idx="152">
                  <c:v>2654</c:v>
                </c:pt>
                <c:pt idx="153">
                  <c:v>2546.8000000000002</c:v>
                </c:pt>
                <c:pt idx="154">
                  <c:v>2478.65</c:v>
                </c:pt>
                <c:pt idx="155">
                  <c:v>2445.75</c:v>
                </c:pt>
                <c:pt idx="156">
                  <c:v>2454.1</c:v>
                </c:pt>
                <c:pt idx="157">
                  <c:v>2455.85</c:v>
                </c:pt>
                <c:pt idx="158">
                  <c:v>2436.85</c:v>
                </c:pt>
                <c:pt idx="159">
                  <c:v>2396.6</c:v>
                </c:pt>
                <c:pt idx="160">
                  <c:v>2389.65</c:v>
                </c:pt>
                <c:pt idx="161">
                  <c:v>2393.15</c:v>
                </c:pt>
                <c:pt idx="162">
                  <c:v>2407.1</c:v>
                </c:pt>
                <c:pt idx="163">
                  <c:v>2418.9</c:v>
                </c:pt>
                <c:pt idx="164">
                  <c:v>2411.35</c:v>
                </c:pt>
                <c:pt idx="165">
                  <c:v>2422.85</c:v>
                </c:pt>
                <c:pt idx="166">
                  <c:v>2431.9</c:v>
                </c:pt>
                <c:pt idx="167">
                  <c:v>2431.15</c:v>
                </c:pt>
                <c:pt idx="168">
                  <c:v>2400.15</c:v>
                </c:pt>
                <c:pt idx="169">
                  <c:v>2376.1999999999998</c:v>
                </c:pt>
                <c:pt idx="170">
                  <c:v>2404.9499999999998</c:v>
                </c:pt>
                <c:pt idx="171">
                  <c:v>2424.75</c:v>
                </c:pt>
                <c:pt idx="172">
                  <c:v>2406.65</c:v>
                </c:pt>
                <c:pt idx="173">
                  <c:v>2391.15</c:v>
                </c:pt>
                <c:pt idx="174">
                  <c:v>2399.4</c:v>
                </c:pt>
                <c:pt idx="175">
                  <c:v>2388.5500000000002</c:v>
                </c:pt>
                <c:pt idx="176">
                  <c:v>2394.1999999999998</c:v>
                </c:pt>
                <c:pt idx="177">
                  <c:v>2374.75</c:v>
                </c:pt>
                <c:pt idx="178">
                  <c:v>2349.0500000000002</c:v>
                </c:pt>
                <c:pt idx="179">
                  <c:v>2335.1</c:v>
                </c:pt>
                <c:pt idx="180">
                  <c:v>2329.4</c:v>
                </c:pt>
                <c:pt idx="181">
                  <c:v>2317.5500000000002</c:v>
                </c:pt>
                <c:pt idx="182">
                  <c:v>2344.85</c:v>
                </c:pt>
                <c:pt idx="183">
                  <c:v>2383.3000000000002</c:v>
                </c:pt>
                <c:pt idx="184">
                  <c:v>2343.65</c:v>
                </c:pt>
                <c:pt idx="185">
                  <c:v>2306.5</c:v>
                </c:pt>
                <c:pt idx="186">
                  <c:v>2321.6</c:v>
                </c:pt>
                <c:pt idx="187">
                  <c:v>2340.6</c:v>
                </c:pt>
                <c:pt idx="188">
                  <c:v>2339.75</c:v>
                </c:pt>
                <c:pt idx="189">
                  <c:v>2332.8000000000002</c:v>
                </c:pt>
                <c:pt idx="190">
                  <c:v>2304.35</c:v>
                </c:pt>
                <c:pt idx="191">
                  <c:v>2318.3000000000002</c:v>
                </c:pt>
                <c:pt idx="192">
                  <c:v>2320.9499999999998</c:v>
                </c:pt>
                <c:pt idx="193">
                  <c:v>2309.5</c:v>
                </c:pt>
                <c:pt idx="194">
                  <c:v>2230.25</c:v>
                </c:pt>
                <c:pt idx="195">
                  <c:v>2269.1</c:v>
                </c:pt>
                <c:pt idx="196">
                  <c:v>2272.85</c:v>
                </c:pt>
                <c:pt idx="197">
                  <c:v>2277.65</c:v>
                </c:pt>
                <c:pt idx="198">
                  <c:v>2300.65</c:v>
                </c:pt>
                <c:pt idx="199">
                  <c:v>2296.9499999999998</c:v>
                </c:pt>
                <c:pt idx="200">
                  <c:v>2301.4</c:v>
                </c:pt>
                <c:pt idx="201">
                  <c:v>2309.1</c:v>
                </c:pt>
                <c:pt idx="202">
                  <c:v>2306.85</c:v>
                </c:pt>
                <c:pt idx="203">
                  <c:v>2325.6</c:v>
                </c:pt>
                <c:pt idx="204">
                  <c:v>2360.15</c:v>
                </c:pt>
                <c:pt idx="205">
                  <c:v>2361.3000000000002</c:v>
                </c:pt>
                <c:pt idx="206">
                  <c:v>2401.25</c:v>
                </c:pt>
                <c:pt idx="207">
                  <c:v>2415.8000000000002</c:v>
                </c:pt>
                <c:pt idx="208">
                  <c:v>2391.4</c:v>
                </c:pt>
                <c:pt idx="209">
                  <c:v>2416.15</c:v>
                </c:pt>
                <c:pt idx="210">
                  <c:v>2407.0500000000002</c:v>
                </c:pt>
                <c:pt idx="211">
                  <c:v>2403.65</c:v>
                </c:pt>
                <c:pt idx="212">
                  <c:v>2413.15</c:v>
                </c:pt>
                <c:pt idx="213">
                  <c:v>2414.1999999999998</c:v>
                </c:pt>
                <c:pt idx="214">
                  <c:v>2363.6999999999998</c:v>
                </c:pt>
                <c:pt idx="215">
                  <c:v>2389.5500000000002</c:v>
                </c:pt>
                <c:pt idx="216">
                  <c:v>2369.5</c:v>
                </c:pt>
                <c:pt idx="217">
                  <c:v>2309.9</c:v>
                </c:pt>
                <c:pt idx="218">
                  <c:v>2261.8000000000002</c:v>
                </c:pt>
                <c:pt idx="219">
                  <c:v>2325.4</c:v>
                </c:pt>
                <c:pt idx="220">
                  <c:v>2284.6</c:v>
                </c:pt>
                <c:pt idx="221">
                  <c:v>2327.25</c:v>
                </c:pt>
                <c:pt idx="222">
                  <c:v>2295.35</c:v>
                </c:pt>
                <c:pt idx="223">
                  <c:v>2283.5500000000002</c:v>
                </c:pt>
                <c:pt idx="224">
                  <c:v>2273.75</c:v>
                </c:pt>
                <c:pt idx="225">
                  <c:v>2305.65</c:v>
                </c:pt>
                <c:pt idx="226">
                  <c:v>2327.9</c:v>
                </c:pt>
                <c:pt idx="227">
                  <c:v>2298.15</c:v>
                </c:pt>
                <c:pt idx="228">
                  <c:v>2306.6</c:v>
                </c:pt>
                <c:pt idx="229">
                  <c:v>2257.6</c:v>
                </c:pt>
                <c:pt idx="230">
                  <c:v>2264.35</c:v>
                </c:pt>
                <c:pt idx="231">
                  <c:v>2277.65</c:v>
                </c:pt>
                <c:pt idx="232">
                  <c:v>2283.15</c:v>
                </c:pt>
                <c:pt idx="233">
                  <c:v>2258</c:v>
                </c:pt>
                <c:pt idx="234">
                  <c:v>2228.5500000000002</c:v>
                </c:pt>
                <c:pt idx="235">
                  <c:v>2290.1</c:v>
                </c:pt>
                <c:pt idx="236">
                  <c:v>2286.5</c:v>
                </c:pt>
                <c:pt idx="237">
                  <c:v>2307.5500000000002</c:v>
                </c:pt>
                <c:pt idx="238">
                  <c:v>2312.5500000000002</c:v>
                </c:pt>
                <c:pt idx="239">
                  <c:v>2294.8000000000002</c:v>
                </c:pt>
                <c:pt idx="240">
                  <c:v>2269.9499999999998</c:v>
                </c:pt>
                <c:pt idx="241">
                  <c:v>2260.4</c:v>
                </c:pt>
                <c:pt idx="242">
                  <c:v>2171.4</c:v>
                </c:pt>
                <c:pt idx="243">
                  <c:v>2170.6999999999998</c:v>
                </c:pt>
                <c:pt idx="244">
                  <c:v>2172.1</c:v>
                </c:pt>
                <c:pt idx="245">
                  <c:v>2149.1</c:v>
                </c:pt>
                <c:pt idx="246">
                  <c:v>2091</c:v>
                </c:pt>
                <c:pt idx="247">
                  <c:v>2019.5</c:v>
                </c:pt>
                <c:pt idx="248">
                  <c:v>1943.95</c:v>
                </c:pt>
                <c:pt idx="249">
                  <c:v>1949</c:v>
                </c:pt>
                <c:pt idx="250">
                  <c:v>1997.9</c:v>
                </c:pt>
                <c:pt idx="251">
                  <c:v>2101.9499999999998</c:v>
                </c:pt>
                <c:pt idx="252">
                  <c:v>2094.4</c:v>
                </c:pt>
                <c:pt idx="253">
                  <c:v>2059.3000000000002</c:v>
                </c:pt>
                <c:pt idx="254">
                  <c:v>2038.2</c:v>
                </c:pt>
                <c:pt idx="255">
                  <c:v>2072.15</c:v>
                </c:pt>
                <c:pt idx="256">
                  <c:v>2102.0500000000002</c:v>
                </c:pt>
                <c:pt idx="257">
                  <c:v>2051.1999999999998</c:v>
                </c:pt>
                <c:pt idx="258">
                  <c:v>1993.5</c:v>
                </c:pt>
                <c:pt idx="259">
                  <c:v>1978.55</c:v>
                </c:pt>
                <c:pt idx="260">
                  <c:v>1965.9</c:v>
                </c:pt>
                <c:pt idx="261">
                  <c:v>1953</c:v>
                </c:pt>
                <c:pt idx="262">
                  <c:v>1975.1</c:v>
                </c:pt>
                <c:pt idx="263">
                  <c:v>1987.05</c:v>
                </c:pt>
                <c:pt idx="264">
                  <c:v>2015.9</c:v>
                </c:pt>
                <c:pt idx="265">
                  <c:v>2048.65</c:v>
                </c:pt>
                <c:pt idx="266">
                  <c:v>2078.15</c:v>
                </c:pt>
                <c:pt idx="267">
                  <c:v>2128.4499999999998</c:v>
                </c:pt>
                <c:pt idx="268">
                  <c:v>2139.8000000000002</c:v>
                </c:pt>
                <c:pt idx="269">
                  <c:v>2142.0500000000002</c:v>
                </c:pt>
                <c:pt idx="270">
                  <c:v>2164.8000000000002</c:v>
                </c:pt>
                <c:pt idx="271">
                  <c:v>2183.0500000000002</c:v>
                </c:pt>
                <c:pt idx="272">
                  <c:v>2163.0500000000002</c:v>
                </c:pt>
                <c:pt idx="273">
                  <c:v>2132.25</c:v>
                </c:pt>
                <c:pt idx="274">
                  <c:v>2152.15</c:v>
                </c:pt>
                <c:pt idx="275">
                  <c:v>2177.65</c:v>
                </c:pt>
                <c:pt idx="276">
                  <c:v>2113.0500000000002</c:v>
                </c:pt>
                <c:pt idx="277">
                  <c:v>2164.9499999999998</c:v>
                </c:pt>
                <c:pt idx="278">
                  <c:v>2197.9499999999998</c:v>
                </c:pt>
                <c:pt idx="279">
                  <c:v>2126.9499999999998</c:v>
                </c:pt>
                <c:pt idx="280">
                  <c:v>2100.75</c:v>
                </c:pt>
                <c:pt idx="281">
                  <c:v>2148.35</c:v>
                </c:pt>
                <c:pt idx="282">
                  <c:v>2145.1</c:v>
                </c:pt>
                <c:pt idx="283">
                  <c:v>2241.85</c:v>
                </c:pt>
                <c:pt idx="284">
                  <c:v>2234.85</c:v>
                </c:pt>
                <c:pt idx="285">
                  <c:v>2230.5</c:v>
                </c:pt>
                <c:pt idx="286">
                  <c:v>2171.5500000000002</c:v>
                </c:pt>
                <c:pt idx="287">
                  <c:v>2166.6</c:v>
                </c:pt>
                <c:pt idx="288">
                  <c:v>2149.1999999999998</c:v>
                </c:pt>
                <c:pt idx="289">
                  <c:v>2116.65</c:v>
                </c:pt>
                <c:pt idx="290">
                  <c:v>2180.4</c:v>
                </c:pt>
                <c:pt idx="291">
                  <c:v>2163.5</c:v>
                </c:pt>
                <c:pt idx="292">
                  <c:v>2138.8000000000002</c:v>
                </c:pt>
                <c:pt idx="293">
                  <c:v>2194.1</c:v>
                </c:pt>
                <c:pt idx="294">
                  <c:v>2217.25</c:v>
                </c:pt>
                <c:pt idx="295">
                  <c:v>2245</c:v>
                </c:pt>
                <c:pt idx="296">
                  <c:v>2291.4</c:v>
                </c:pt>
                <c:pt idx="297">
                  <c:v>2264.5500000000002</c:v>
                </c:pt>
                <c:pt idx="298">
                  <c:v>2325.9499999999998</c:v>
                </c:pt>
                <c:pt idx="299">
                  <c:v>2379.8000000000002</c:v>
                </c:pt>
                <c:pt idx="300">
                  <c:v>2309.65</c:v>
                </c:pt>
                <c:pt idx="301">
                  <c:v>2298.6999999999998</c:v>
                </c:pt>
                <c:pt idx="302">
                  <c:v>2280.1999999999998</c:v>
                </c:pt>
                <c:pt idx="303">
                  <c:v>2330.6</c:v>
                </c:pt>
                <c:pt idx="304">
                  <c:v>2348.9499999999998</c:v>
                </c:pt>
                <c:pt idx="305">
                  <c:v>2353.25</c:v>
                </c:pt>
                <c:pt idx="306">
                  <c:v>2308.4499999999998</c:v>
                </c:pt>
                <c:pt idx="307">
                  <c:v>2284.8000000000002</c:v>
                </c:pt>
                <c:pt idx="308">
                  <c:v>2291.9499999999998</c:v>
                </c:pt>
                <c:pt idx="309">
                  <c:v>2280.5</c:v>
                </c:pt>
                <c:pt idx="310">
                  <c:v>2211.6</c:v>
                </c:pt>
                <c:pt idx="311">
                  <c:v>2197.0500000000002</c:v>
                </c:pt>
                <c:pt idx="312">
                  <c:v>2197.6999999999998</c:v>
                </c:pt>
                <c:pt idx="313">
                  <c:v>2199.9</c:v>
                </c:pt>
                <c:pt idx="314">
                  <c:v>2196.9</c:v>
                </c:pt>
                <c:pt idx="315">
                  <c:v>2171</c:v>
                </c:pt>
                <c:pt idx="316">
                  <c:v>2146.5500000000002</c:v>
                </c:pt>
                <c:pt idx="317">
                  <c:v>2146.6999999999998</c:v>
                </c:pt>
                <c:pt idx="318">
                  <c:v>2110.4499999999998</c:v>
                </c:pt>
                <c:pt idx="319">
                  <c:v>2195.9</c:v>
                </c:pt>
                <c:pt idx="320">
                  <c:v>2205</c:v>
                </c:pt>
                <c:pt idx="321">
                  <c:v>2202.85</c:v>
                </c:pt>
                <c:pt idx="322">
                  <c:v>2252.6</c:v>
                </c:pt>
                <c:pt idx="323">
                  <c:v>2303.9</c:v>
                </c:pt>
                <c:pt idx="324">
                  <c:v>2320.65</c:v>
                </c:pt>
                <c:pt idx="325">
                  <c:v>2317.65</c:v>
                </c:pt>
                <c:pt idx="326">
                  <c:v>2233.4499999999998</c:v>
                </c:pt>
                <c:pt idx="327">
                  <c:v>2230.6</c:v>
                </c:pt>
                <c:pt idx="328">
                  <c:v>2282.35</c:v>
                </c:pt>
                <c:pt idx="329">
                  <c:v>2375.1999999999998</c:v>
                </c:pt>
                <c:pt idx="330">
                  <c:v>2401.5</c:v>
                </c:pt>
                <c:pt idx="331">
                  <c:v>2498.4</c:v>
                </c:pt>
                <c:pt idx="332">
                  <c:v>2472.9499999999998</c:v>
                </c:pt>
                <c:pt idx="333">
                  <c:v>2496.85</c:v>
                </c:pt>
                <c:pt idx="334">
                  <c:v>2490.6</c:v>
                </c:pt>
                <c:pt idx="335">
                  <c:v>2449.5500000000002</c:v>
                </c:pt>
                <c:pt idx="336">
                  <c:v>2497.75</c:v>
                </c:pt>
                <c:pt idx="337">
                  <c:v>2497.8000000000002</c:v>
                </c:pt>
                <c:pt idx="338">
                  <c:v>2568.5</c:v>
                </c:pt>
                <c:pt idx="339">
                  <c:v>2553.5</c:v>
                </c:pt>
                <c:pt idx="340">
                  <c:v>2567.9499999999998</c:v>
                </c:pt>
                <c:pt idx="341">
                  <c:v>2604.5</c:v>
                </c:pt>
                <c:pt idx="342">
                  <c:v>2607.4499999999998</c:v>
                </c:pt>
                <c:pt idx="343">
                  <c:v>2640.6</c:v>
                </c:pt>
                <c:pt idx="344">
                  <c:v>2623.6</c:v>
                </c:pt>
                <c:pt idx="345">
                  <c:v>2547.1</c:v>
                </c:pt>
                <c:pt idx="346">
                  <c:v>2581.9499999999998</c:v>
                </c:pt>
                <c:pt idx="347">
                  <c:v>2620.1</c:v>
                </c:pt>
                <c:pt idx="348">
                  <c:v>2637.4</c:v>
                </c:pt>
                <c:pt idx="349">
                  <c:v>2593</c:v>
                </c:pt>
                <c:pt idx="350">
                  <c:v>2635.25</c:v>
                </c:pt>
                <c:pt idx="351">
                  <c:v>2626.35</c:v>
                </c:pt>
                <c:pt idx="352">
                  <c:v>2627.95</c:v>
                </c:pt>
                <c:pt idx="353">
                  <c:v>2645.4</c:v>
                </c:pt>
                <c:pt idx="354">
                  <c:v>2650.35</c:v>
                </c:pt>
                <c:pt idx="355">
                  <c:v>2642.8</c:v>
                </c:pt>
                <c:pt idx="356">
                  <c:v>2613.6999999999998</c:v>
                </c:pt>
                <c:pt idx="357">
                  <c:v>2594.9499999999998</c:v>
                </c:pt>
                <c:pt idx="358">
                  <c:v>2644.5</c:v>
                </c:pt>
                <c:pt idx="359">
                  <c:v>2684.65</c:v>
                </c:pt>
                <c:pt idx="360">
                  <c:v>2682.05</c:v>
                </c:pt>
                <c:pt idx="361">
                  <c:v>2634.55</c:v>
                </c:pt>
                <c:pt idx="362">
                  <c:v>2626.7</c:v>
                </c:pt>
                <c:pt idx="363">
                  <c:v>2592.75</c:v>
                </c:pt>
                <c:pt idx="364">
                  <c:v>2588.25</c:v>
                </c:pt>
                <c:pt idx="365">
                  <c:v>2574.1999999999998</c:v>
                </c:pt>
                <c:pt idx="366">
                  <c:v>2571.5500000000002</c:v>
                </c:pt>
                <c:pt idx="367">
                  <c:v>2575.8000000000002</c:v>
                </c:pt>
                <c:pt idx="368">
                  <c:v>2659.85</c:v>
                </c:pt>
                <c:pt idx="369">
                  <c:v>2606</c:v>
                </c:pt>
                <c:pt idx="370">
                  <c:v>2603.6</c:v>
                </c:pt>
                <c:pt idx="371">
                  <c:v>2600.6</c:v>
                </c:pt>
                <c:pt idx="372">
                  <c:v>2573.1</c:v>
                </c:pt>
                <c:pt idx="373">
                  <c:v>2564.6</c:v>
                </c:pt>
                <c:pt idx="374">
                  <c:v>2577.15</c:v>
                </c:pt>
                <c:pt idx="375">
                  <c:v>2588.6999999999998</c:v>
                </c:pt>
                <c:pt idx="376">
                  <c:v>2580.4</c:v>
                </c:pt>
                <c:pt idx="377">
                  <c:v>2586.6</c:v>
                </c:pt>
                <c:pt idx="378">
                  <c:v>2571.4</c:v>
                </c:pt>
                <c:pt idx="379">
                  <c:v>2560.4</c:v>
                </c:pt>
                <c:pt idx="380">
                  <c:v>2528.15</c:v>
                </c:pt>
                <c:pt idx="381">
                  <c:v>2579.25</c:v>
                </c:pt>
                <c:pt idx="382">
                  <c:v>2583.5500000000002</c:v>
                </c:pt>
                <c:pt idx="383">
                  <c:v>2623.6</c:v>
                </c:pt>
                <c:pt idx="384">
                  <c:v>2692.75</c:v>
                </c:pt>
                <c:pt idx="385">
                  <c:v>2682.05</c:v>
                </c:pt>
                <c:pt idx="386">
                  <c:v>2660.55</c:v>
                </c:pt>
                <c:pt idx="387">
                  <c:v>2679.25</c:v>
                </c:pt>
                <c:pt idx="388">
                  <c:v>2702.1</c:v>
                </c:pt>
                <c:pt idx="389">
                  <c:v>2700.55</c:v>
                </c:pt>
                <c:pt idx="390">
                  <c:v>2696.45</c:v>
                </c:pt>
                <c:pt idx="391">
                  <c:v>2622.5</c:v>
                </c:pt>
                <c:pt idx="392">
                  <c:v>2667.95</c:v>
                </c:pt>
                <c:pt idx="393">
                  <c:v>2614</c:v>
                </c:pt>
                <c:pt idx="394">
                  <c:v>2599.6999999999998</c:v>
                </c:pt>
                <c:pt idx="395">
                  <c:v>2605.6</c:v>
                </c:pt>
                <c:pt idx="396">
                  <c:v>2550.65</c:v>
                </c:pt>
                <c:pt idx="397">
                  <c:v>2591.35</c:v>
                </c:pt>
                <c:pt idx="398">
                  <c:v>2566.4</c:v>
                </c:pt>
                <c:pt idx="399">
                  <c:v>2565.58</c:v>
                </c:pt>
                <c:pt idx="400">
                  <c:v>2580.2800000000002</c:v>
                </c:pt>
                <c:pt idx="401">
                  <c:v>2591.9299999999998</c:v>
                </c:pt>
                <c:pt idx="402">
                  <c:v>2572.7600000000002</c:v>
                </c:pt>
                <c:pt idx="403">
                  <c:v>2590.58</c:v>
                </c:pt>
                <c:pt idx="404">
                  <c:v>2643.38</c:v>
                </c:pt>
                <c:pt idx="405">
                  <c:v>2562.9</c:v>
                </c:pt>
                <c:pt idx="406">
                  <c:v>2495.46</c:v>
                </c:pt>
                <c:pt idx="407">
                  <c:v>2509.0100000000002</c:v>
                </c:pt>
                <c:pt idx="408">
                  <c:v>2514.2399999999998</c:v>
                </c:pt>
                <c:pt idx="409">
                  <c:v>2540.58</c:v>
                </c:pt>
                <c:pt idx="410">
                  <c:v>2541.6799999999998</c:v>
                </c:pt>
                <c:pt idx="411">
                  <c:v>2508.31</c:v>
                </c:pt>
                <c:pt idx="412">
                  <c:v>2536.25</c:v>
                </c:pt>
                <c:pt idx="413">
                  <c:v>2510.35</c:v>
                </c:pt>
                <c:pt idx="414">
                  <c:v>2522.75</c:v>
                </c:pt>
                <c:pt idx="415">
                  <c:v>2498.85</c:v>
                </c:pt>
                <c:pt idx="416">
                  <c:v>2503.63</c:v>
                </c:pt>
                <c:pt idx="417">
                  <c:v>2493.12</c:v>
                </c:pt>
                <c:pt idx="418">
                  <c:v>2448.0500000000002</c:v>
                </c:pt>
                <c:pt idx="419">
                  <c:v>2447.75</c:v>
                </c:pt>
                <c:pt idx="420">
                  <c:v>2468.02</c:v>
                </c:pt>
                <c:pt idx="421">
                  <c:v>2450.2399999999998</c:v>
                </c:pt>
                <c:pt idx="422">
                  <c:v>2473.85</c:v>
                </c:pt>
                <c:pt idx="423">
                  <c:v>2491.48</c:v>
                </c:pt>
                <c:pt idx="424">
                  <c:v>2505.7199999999998</c:v>
                </c:pt>
                <c:pt idx="425">
                  <c:v>2497.41</c:v>
                </c:pt>
                <c:pt idx="426">
                  <c:v>2539.04</c:v>
                </c:pt>
                <c:pt idx="427">
                  <c:v>2527.39</c:v>
                </c:pt>
                <c:pt idx="428">
                  <c:v>2515.19</c:v>
                </c:pt>
                <c:pt idx="429">
                  <c:v>2623.75</c:v>
                </c:pt>
                <c:pt idx="430">
                  <c:v>2673.7</c:v>
                </c:pt>
                <c:pt idx="431">
                  <c:v>2652.29</c:v>
                </c:pt>
                <c:pt idx="432">
                  <c:v>2604.73</c:v>
                </c:pt>
                <c:pt idx="433">
                  <c:v>2609.46</c:v>
                </c:pt>
                <c:pt idx="434">
                  <c:v>2644.02</c:v>
                </c:pt>
                <c:pt idx="435">
                  <c:v>2696.61</c:v>
                </c:pt>
                <c:pt idx="436">
                  <c:v>2694.72</c:v>
                </c:pt>
                <c:pt idx="437">
                  <c:v>2711.45</c:v>
                </c:pt>
                <c:pt idx="438">
                  <c:v>2706.47</c:v>
                </c:pt>
                <c:pt idx="439">
                  <c:v>2699.55</c:v>
                </c:pt>
                <c:pt idx="440">
                  <c:v>2674</c:v>
                </c:pt>
                <c:pt idx="441">
                  <c:v>2652.69</c:v>
                </c:pt>
                <c:pt idx="442">
                  <c:v>2660.71</c:v>
                </c:pt>
                <c:pt idx="443">
                  <c:v>2707.32</c:v>
                </c:pt>
                <c:pt idx="444">
                  <c:v>2663.94</c:v>
                </c:pt>
                <c:pt idx="445">
                  <c:v>2655.63</c:v>
                </c:pt>
                <c:pt idx="446">
                  <c:v>2634.86</c:v>
                </c:pt>
                <c:pt idx="447">
                  <c:v>2610.71</c:v>
                </c:pt>
                <c:pt idx="448">
                  <c:v>2607.0700000000002</c:v>
                </c:pt>
                <c:pt idx="449">
                  <c:v>2582.9699999999998</c:v>
                </c:pt>
                <c:pt idx="450">
                  <c:v>2573.35</c:v>
                </c:pt>
                <c:pt idx="451">
                  <c:v>2557.86</c:v>
                </c:pt>
                <c:pt idx="452">
                  <c:v>2550.89</c:v>
                </c:pt>
                <c:pt idx="453">
                  <c:v>2548.25</c:v>
                </c:pt>
                <c:pt idx="454">
                  <c:v>2531.9699999999998</c:v>
                </c:pt>
                <c:pt idx="455">
                  <c:v>2526.04</c:v>
                </c:pt>
                <c:pt idx="456">
                  <c:v>2573.4499999999998</c:v>
                </c:pt>
                <c:pt idx="457">
                  <c:v>2566.23</c:v>
                </c:pt>
                <c:pt idx="458">
                  <c:v>2613.64</c:v>
                </c:pt>
                <c:pt idx="459">
                  <c:v>2633.36</c:v>
                </c:pt>
                <c:pt idx="460">
                  <c:v>2582.9699999999998</c:v>
                </c:pt>
                <c:pt idx="461">
                  <c:v>2579.7800000000002</c:v>
                </c:pt>
                <c:pt idx="462">
                  <c:v>2613.59</c:v>
                </c:pt>
                <c:pt idx="463">
                  <c:v>2586.8000000000002</c:v>
                </c:pt>
                <c:pt idx="464">
                  <c:v>2656.97</c:v>
                </c:pt>
                <c:pt idx="465">
                  <c:v>2675.55</c:v>
                </c:pt>
                <c:pt idx="466">
                  <c:v>2639.24</c:v>
                </c:pt>
                <c:pt idx="467">
                  <c:v>2538.64</c:v>
                </c:pt>
                <c:pt idx="468">
                  <c:v>2586.1</c:v>
                </c:pt>
                <c:pt idx="469">
                  <c:v>2590.19</c:v>
                </c:pt>
                <c:pt idx="470">
                  <c:v>2611.9499999999998</c:v>
                </c:pt>
                <c:pt idx="471">
                  <c:v>2601.79</c:v>
                </c:pt>
                <c:pt idx="472">
                  <c:v>2557.9699999999998</c:v>
                </c:pt>
                <c:pt idx="473">
                  <c:v>2566.5300000000002</c:v>
                </c:pt>
                <c:pt idx="474">
                  <c:v>2564.04</c:v>
                </c:pt>
                <c:pt idx="475">
                  <c:v>2624.4</c:v>
                </c:pt>
                <c:pt idx="476">
                  <c:v>2638.25</c:v>
                </c:pt>
                <c:pt idx="477">
                  <c:v>2627.14</c:v>
                </c:pt>
                <c:pt idx="478">
                  <c:v>2590.88</c:v>
                </c:pt>
                <c:pt idx="479">
                  <c:v>2572.56</c:v>
                </c:pt>
                <c:pt idx="480">
                  <c:v>2576.44</c:v>
                </c:pt>
                <c:pt idx="481">
                  <c:v>2567.2800000000002</c:v>
                </c:pt>
                <c:pt idx="482">
                  <c:v>2570.7600000000002</c:v>
                </c:pt>
                <c:pt idx="483">
                  <c:v>2569.37</c:v>
                </c:pt>
                <c:pt idx="484">
                  <c:v>2538.34</c:v>
                </c:pt>
                <c:pt idx="485">
                  <c:v>2517.08</c:v>
                </c:pt>
                <c:pt idx="486">
                  <c:v>2505.52</c:v>
                </c:pt>
                <c:pt idx="487">
                  <c:v>2501.4899999999998</c:v>
                </c:pt>
                <c:pt idx="488">
                  <c:v>2506.17</c:v>
                </c:pt>
                <c:pt idx="489">
                  <c:v>2484.16</c:v>
                </c:pt>
                <c:pt idx="490">
                  <c:v>2480.77</c:v>
                </c:pt>
                <c:pt idx="491">
                  <c:v>2474.35</c:v>
                </c:pt>
                <c:pt idx="492">
                  <c:v>2458.36</c:v>
                </c:pt>
                <c:pt idx="493">
                  <c:v>2450.89</c:v>
                </c:pt>
                <c:pt idx="494">
                  <c:v>2456.4699999999998</c:v>
                </c:pt>
                <c:pt idx="495">
                  <c:v>2445.61</c:v>
                </c:pt>
                <c:pt idx="496">
                  <c:v>2461.1999999999998</c:v>
                </c:pt>
                <c:pt idx="497">
                  <c:v>2475</c:v>
                </c:pt>
                <c:pt idx="498">
                  <c:v>2475.2399999999998</c:v>
                </c:pt>
                <c:pt idx="499">
                  <c:v>2451.64</c:v>
                </c:pt>
                <c:pt idx="500">
                  <c:v>2455.67</c:v>
                </c:pt>
                <c:pt idx="501">
                  <c:v>2445.36</c:v>
                </c:pt>
                <c:pt idx="502">
                  <c:v>2432.7600000000002</c:v>
                </c:pt>
                <c:pt idx="503">
                  <c:v>2396.56</c:v>
                </c:pt>
                <c:pt idx="504">
                  <c:v>2449.6</c:v>
                </c:pt>
                <c:pt idx="505">
                  <c:v>2437.69</c:v>
                </c:pt>
                <c:pt idx="506">
                  <c:v>2501.2399999999998</c:v>
                </c:pt>
                <c:pt idx="507">
                  <c:v>2452.83</c:v>
                </c:pt>
                <c:pt idx="508">
                  <c:v>2466.5300000000002</c:v>
                </c:pt>
                <c:pt idx="509">
                  <c:v>2475.2399999999998</c:v>
                </c:pt>
                <c:pt idx="510">
                  <c:v>2470.96</c:v>
                </c:pt>
                <c:pt idx="511">
                  <c:v>2489.09</c:v>
                </c:pt>
                <c:pt idx="512">
                  <c:v>2472.9499999999998</c:v>
                </c:pt>
                <c:pt idx="513">
                  <c:v>2520.81</c:v>
                </c:pt>
                <c:pt idx="514">
                  <c:v>2550.1999999999998</c:v>
                </c:pt>
                <c:pt idx="515">
                  <c:v>2526.04</c:v>
                </c:pt>
                <c:pt idx="516">
                  <c:v>2572.5100000000002</c:v>
                </c:pt>
                <c:pt idx="517">
                  <c:v>2555.08</c:v>
                </c:pt>
                <c:pt idx="518">
                  <c:v>2522.11</c:v>
                </c:pt>
                <c:pt idx="519">
                  <c:v>2537.65</c:v>
                </c:pt>
                <c:pt idx="520">
                  <c:v>2518.92</c:v>
                </c:pt>
                <c:pt idx="521">
                  <c:v>2526.14</c:v>
                </c:pt>
                <c:pt idx="522">
                  <c:v>2541.73</c:v>
                </c:pt>
                <c:pt idx="523">
                  <c:v>2530.9699999999998</c:v>
                </c:pt>
                <c:pt idx="524">
                  <c:v>2521.56</c:v>
                </c:pt>
                <c:pt idx="525">
                  <c:v>2482.71</c:v>
                </c:pt>
                <c:pt idx="526">
                  <c:v>2488.04</c:v>
                </c:pt>
                <c:pt idx="527">
                  <c:v>2489.84</c:v>
                </c:pt>
                <c:pt idx="528">
                  <c:v>2480.5700000000002</c:v>
                </c:pt>
                <c:pt idx="529">
                  <c:v>2500.84</c:v>
                </c:pt>
                <c:pt idx="530">
                  <c:v>2459.16</c:v>
                </c:pt>
                <c:pt idx="531">
                  <c:v>2447.5500000000002</c:v>
                </c:pt>
                <c:pt idx="532">
                  <c:v>2441.98</c:v>
                </c:pt>
                <c:pt idx="533">
                  <c:v>2476.14</c:v>
                </c:pt>
                <c:pt idx="534">
                  <c:v>2496.81</c:v>
                </c:pt>
                <c:pt idx="535">
                  <c:v>2490.83</c:v>
                </c:pt>
                <c:pt idx="536">
                  <c:v>2506.3200000000002</c:v>
                </c:pt>
                <c:pt idx="537">
                  <c:v>2505.8200000000002</c:v>
                </c:pt>
                <c:pt idx="538">
                  <c:v>2512.6999999999998</c:v>
                </c:pt>
                <c:pt idx="539">
                  <c:v>2582.12</c:v>
                </c:pt>
                <c:pt idx="540">
                  <c:v>2613</c:v>
                </c:pt>
                <c:pt idx="541">
                  <c:v>2651.69</c:v>
                </c:pt>
                <c:pt idx="542">
                  <c:v>2665.29</c:v>
                </c:pt>
                <c:pt idx="543">
                  <c:v>2651.19</c:v>
                </c:pt>
                <c:pt idx="544">
                  <c:v>2617.13</c:v>
                </c:pt>
                <c:pt idx="545">
                  <c:v>2630.97</c:v>
                </c:pt>
                <c:pt idx="546">
                  <c:v>2627.64</c:v>
                </c:pt>
                <c:pt idx="547">
                  <c:v>2617.88</c:v>
                </c:pt>
                <c:pt idx="548">
                  <c:v>2604.58</c:v>
                </c:pt>
                <c:pt idx="549">
                  <c:v>2586.9499999999998</c:v>
                </c:pt>
                <c:pt idx="550">
                  <c:v>2641.83</c:v>
                </c:pt>
                <c:pt idx="551">
                  <c:v>2639.79</c:v>
                </c:pt>
                <c:pt idx="552">
                  <c:v>2646.01</c:v>
                </c:pt>
                <c:pt idx="553">
                  <c:v>2656.97</c:v>
                </c:pt>
                <c:pt idx="554">
                  <c:v>2687.2</c:v>
                </c:pt>
                <c:pt idx="555">
                  <c:v>2705.93</c:v>
                </c:pt>
                <c:pt idx="556">
                  <c:v>2685.11</c:v>
                </c:pt>
                <c:pt idx="557">
                  <c:v>2680.48</c:v>
                </c:pt>
                <c:pt idx="558">
                  <c:v>2705.43</c:v>
                </c:pt>
                <c:pt idx="559">
                  <c:v>2669.27</c:v>
                </c:pt>
                <c:pt idx="560">
                  <c:v>2625.75</c:v>
                </c:pt>
                <c:pt idx="561">
                  <c:v>2632.97</c:v>
                </c:pt>
                <c:pt idx="562">
                  <c:v>2665.29</c:v>
                </c:pt>
                <c:pt idx="563">
                  <c:v>2688.05</c:v>
                </c:pt>
                <c:pt idx="564">
                  <c:v>2679.03</c:v>
                </c:pt>
                <c:pt idx="565">
                  <c:v>2704.88</c:v>
                </c:pt>
                <c:pt idx="566">
                  <c:v>2672.61</c:v>
                </c:pt>
                <c:pt idx="567">
                  <c:v>2665.49</c:v>
                </c:pt>
                <c:pt idx="568">
                  <c:v>2665.99</c:v>
                </c:pt>
                <c:pt idx="569">
                  <c:v>2643.82</c:v>
                </c:pt>
                <c:pt idx="570">
                  <c:v>2631.12</c:v>
                </c:pt>
                <c:pt idx="571">
                  <c:v>2641.58</c:v>
                </c:pt>
                <c:pt idx="572">
                  <c:v>2640.83</c:v>
                </c:pt>
                <c:pt idx="573">
                  <c:v>2650.7</c:v>
                </c:pt>
                <c:pt idx="574">
                  <c:v>2667.53</c:v>
                </c:pt>
                <c:pt idx="575">
                  <c:v>2690.34</c:v>
                </c:pt>
                <c:pt idx="576">
                  <c:v>2689.29</c:v>
                </c:pt>
                <c:pt idx="577">
                  <c:v>2744.92</c:v>
                </c:pt>
                <c:pt idx="578">
                  <c:v>2746.17</c:v>
                </c:pt>
                <c:pt idx="579">
                  <c:v>2687.4</c:v>
                </c:pt>
                <c:pt idx="580">
                  <c:v>2646.01</c:v>
                </c:pt>
                <c:pt idx="581">
                  <c:v>2673.85</c:v>
                </c:pt>
                <c:pt idx="582">
                  <c:v>2663.05</c:v>
                </c:pt>
                <c:pt idx="583">
                  <c:v>2644.17</c:v>
                </c:pt>
                <c:pt idx="584">
                  <c:v>2666.28</c:v>
                </c:pt>
                <c:pt idx="585">
                  <c:v>2671.06</c:v>
                </c:pt>
                <c:pt idx="586">
                  <c:v>2672.16</c:v>
                </c:pt>
                <c:pt idx="587">
                  <c:v>2661</c:v>
                </c:pt>
                <c:pt idx="588">
                  <c:v>2692.53</c:v>
                </c:pt>
                <c:pt idx="589">
                  <c:v>2593.67</c:v>
                </c:pt>
                <c:pt idx="590">
                  <c:v>2570.02</c:v>
                </c:pt>
                <c:pt idx="591">
                  <c:v>2557.9699999999998</c:v>
                </c:pt>
                <c:pt idx="592">
                  <c:v>2573.0500000000002</c:v>
                </c:pt>
                <c:pt idx="593">
                  <c:v>2559.66</c:v>
                </c:pt>
                <c:pt idx="594">
                  <c:v>2574.35</c:v>
                </c:pt>
                <c:pt idx="595">
                  <c:v>2550.64</c:v>
                </c:pt>
                <c:pt idx="596">
                  <c:v>2540.98</c:v>
                </c:pt>
                <c:pt idx="597">
                  <c:v>2558.7600000000002</c:v>
                </c:pt>
                <c:pt idx="598">
                  <c:v>2541.1799999999998</c:v>
                </c:pt>
                <c:pt idx="599">
                  <c:v>2535.9</c:v>
                </c:pt>
                <c:pt idx="600">
                  <c:v>2559.0100000000002</c:v>
                </c:pt>
                <c:pt idx="601">
                  <c:v>2555.67</c:v>
                </c:pt>
                <c:pt idx="602">
                  <c:v>2542.08</c:v>
                </c:pt>
                <c:pt idx="603">
                  <c:v>2526.64</c:v>
                </c:pt>
                <c:pt idx="604">
                  <c:v>2491.88</c:v>
                </c:pt>
                <c:pt idx="605">
                  <c:v>2523.0500000000002</c:v>
                </c:pt>
                <c:pt idx="606">
                  <c:v>2542.48</c:v>
                </c:pt>
                <c:pt idx="607">
                  <c:v>2533.16</c:v>
                </c:pt>
                <c:pt idx="608">
                  <c:v>2544.62</c:v>
                </c:pt>
                <c:pt idx="609">
                  <c:v>2552.59</c:v>
                </c:pt>
                <c:pt idx="610">
                  <c:v>2555.62</c:v>
                </c:pt>
                <c:pt idx="611">
                  <c:v>2563.84</c:v>
                </c:pt>
                <c:pt idx="612">
                  <c:v>2571.0100000000002</c:v>
                </c:pt>
                <c:pt idx="613">
                  <c:v>2553.38</c:v>
                </c:pt>
                <c:pt idx="614">
                  <c:v>2545.56</c:v>
                </c:pt>
                <c:pt idx="615">
                  <c:v>2516.13</c:v>
                </c:pt>
                <c:pt idx="616">
                  <c:v>2521.91</c:v>
                </c:pt>
                <c:pt idx="617">
                  <c:v>2495.11</c:v>
                </c:pt>
                <c:pt idx="618">
                  <c:v>2494.87</c:v>
                </c:pt>
                <c:pt idx="619">
                  <c:v>2491.48</c:v>
                </c:pt>
                <c:pt idx="620">
                  <c:v>2497.11</c:v>
                </c:pt>
                <c:pt idx="621">
                  <c:v>2513.4899999999998</c:v>
                </c:pt>
                <c:pt idx="622">
                  <c:v>2497.5</c:v>
                </c:pt>
                <c:pt idx="623">
                  <c:v>2503.83</c:v>
                </c:pt>
                <c:pt idx="624">
                  <c:v>2526.19</c:v>
                </c:pt>
                <c:pt idx="625">
                  <c:v>2488.94</c:v>
                </c:pt>
                <c:pt idx="626">
                  <c:v>2496.61</c:v>
                </c:pt>
                <c:pt idx="627">
                  <c:v>2490.88</c:v>
                </c:pt>
                <c:pt idx="628">
                  <c:v>2459.91</c:v>
                </c:pt>
                <c:pt idx="629">
                  <c:v>2478.7800000000002</c:v>
                </c:pt>
                <c:pt idx="630">
                  <c:v>2457.0700000000002</c:v>
                </c:pt>
                <c:pt idx="631">
                  <c:v>2463.54</c:v>
                </c:pt>
                <c:pt idx="632">
                  <c:v>2472.6</c:v>
                </c:pt>
                <c:pt idx="633">
                  <c:v>2466.0300000000002</c:v>
                </c:pt>
                <c:pt idx="634">
                  <c:v>2469.12</c:v>
                </c:pt>
                <c:pt idx="635">
                  <c:v>2491.83</c:v>
                </c:pt>
                <c:pt idx="636">
                  <c:v>2450.59</c:v>
                </c:pt>
                <c:pt idx="637">
                  <c:v>2455.8200000000002</c:v>
                </c:pt>
                <c:pt idx="638">
                  <c:v>2459.11</c:v>
                </c:pt>
                <c:pt idx="639">
                  <c:v>2497.9</c:v>
                </c:pt>
                <c:pt idx="640">
                  <c:v>2509.56</c:v>
                </c:pt>
                <c:pt idx="641">
                  <c:v>2489.4899999999998</c:v>
                </c:pt>
                <c:pt idx="642">
                  <c:v>2501.34</c:v>
                </c:pt>
                <c:pt idx="643">
                  <c:v>2506.2199999999998</c:v>
                </c:pt>
                <c:pt idx="644">
                  <c:v>2546.2600000000002</c:v>
                </c:pt>
                <c:pt idx="645">
                  <c:v>2546.86</c:v>
                </c:pt>
                <c:pt idx="646">
                  <c:v>2559.2600000000002</c:v>
                </c:pt>
                <c:pt idx="647">
                  <c:v>2548.15</c:v>
                </c:pt>
                <c:pt idx="648">
                  <c:v>2546.0100000000002</c:v>
                </c:pt>
                <c:pt idx="649">
                  <c:v>2538.14</c:v>
                </c:pt>
                <c:pt idx="650">
                  <c:v>2537.9899999999998</c:v>
                </c:pt>
                <c:pt idx="651">
                  <c:v>2485.25</c:v>
                </c:pt>
                <c:pt idx="652">
                  <c:v>2473.65</c:v>
                </c:pt>
                <c:pt idx="653">
                  <c:v>2467.48</c:v>
                </c:pt>
                <c:pt idx="654">
                  <c:v>2466.58</c:v>
                </c:pt>
                <c:pt idx="655">
                  <c:v>2472.21</c:v>
                </c:pt>
                <c:pt idx="656">
                  <c:v>2469.0700000000002</c:v>
                </c:pt>
                <c:pt idx="657">
                  <c:v>2474.15</c:v>
                </c:pt>
                <c:pt idx="658">
                  <c:v>2462.4499999999998</c:v>
                </c:pt>
                <c:pt idx="659">
                  <c:v>2476.94</c:v>
                </c:pt>
                <c:pt idx="660">
                  <c:v>2499.3000000000002</c:v>
                </c:pt>
                <c:pt idx="661">
                  <c:v>2487.5</c:v>
                </c:pt>
                <c:pt idx="662">
                  <c:v>2486.5500000000002</c:v>
                </c:pt>
                <c:pt idx="663">
                  <c:v>2509.36</c:v>
                </c:pt>
                <c:pt idx="664">
                  <c:v>2466.88</c:v>
                </c:pt>
                <c:pt idx="665">
                  <c:v>2476.69</c:v>
                </c:pt>
                <c:pt idx="666">
                  <c:v>2491.5500000000002</c:v>
                </c:pt>
                <c:pt idx="667">
                  <c:v>2468.3200000000002</c:v>
                </c:pt>
                <c:pt idx="668">
                  <c:v>2476.54</c:v>
                </c:pt>
                <c:pt idx="669">
                  <c:v>2481.3200000000002</c:v>
                </c:pt>
                <c:pt idx="670">
                  <c:v>2518.77</c:v>
                </c:pt>
                <c:pt idx="671">
                  <c:v>2496.5100000000002</c:v>
                </c:pt>
                <c:pt idx="672">
                  <c:v>2495.31</c:v>
                </c:pt>
                <c:pt idx="673">
                  <c:v>2511.9</c:v>
                </c:pt>
                <c:pt idx="674">
                  <c:v>2509.91</c:v>
                </c:pt>
                <c:pt idx="675">
                  <c:v>2505.23</c:v>
                </c:pt>
                <c:pt idx="676">
                  <c:v>2500.59</c:v>
                </c:pt>
                <c:pt idx="677">
                  <c:v>2515.04</c:v>
                </c:pt>
                <c:pt idx="678">
                  <c:v>2535.4499999999998</c:v>
                </c:pt>
                <c:pt idx="679">
                  <c:v>2553.48</c:v>
                </c:pt>
                <c:pt idx="680">
                  <c:v>2591.98</c:v>
                </c:pt>
                <c:pt idx="681">
                  <c:v>2553.08</c:v>
                </c:pt>
                <c:pt idx="682">
                  <c:v>2557.4699999999998</c:v>
                </c:pt>
                <c:pt idx="683">
                  <c:v>2508.2600000000002</c:v>
                </c:pt>
                <c:pt idx="684">
                  <c:v>2512.3000000000002</c:v>
                </c:pt>
                <c:pt idx="685">
                  <c:v>2493.7199999999998</c:v>
                </c:pt>
                <c:pt idx="686">
                  <c:v>2492.8200000000002</c:v>
                </c:pt>
                <c:pt idx="687">
                  <c:v>2501.94</c:v>
                </c:pt>
                <c:pt idx="688">
                  <c:v>2506.37</c:v>
                </c:pt>
                <c:pt idx="689">
                  <c:v>2512.89</c:v>
                </c:pt>
                <c:pt idx="690">
                  <c:v>2525.44</c:v>
                </c:pt>
                <c:pt idx="691">
                  <c:v>2550.54</c:v>
                </c:pt>
                <c:pt idx="692">
                  <c:v>2547.36</c:v>
                </c:pt>
                <c:pt idx="693">
                  <c:v>2543.0700000000002</c:v>
                </c:pt>
                <c:pt idx="694">
                  <c:v>2565.39</c:v>
                </c:pt>
                <c:pt idx="695">
                  <c:v>2574.5</c:v>
                </c:pt>
                <c:pt idx="696">
                  <c:v>2597.96</c:v>
                </c:pt>
                <c:pt idx="697">
                  <c:v>2623.35</c:v>
                </c:pt>
                <c:pt idx="698">
                  <c:v>2653.39</c:v>
                </c:pt>
                <c:pt idx="699">
                  <c:v>2644.22</c:v>
                </c:pt>
                <c:pt idx="700">
                  <c:v>2603.4299999999998</c:v>
                </c:pt>
                <c:pt idx="701">
                  <c:v>2596.21</c:v>
                </c:pt>
                <c:pt idx="702">
                  <c:v>2582.27</c:v>
                </c:pt>
                <c:pt idx="703">
                  <c:v>2609.66</c:v>
                </c:pt>
                <c:pt idx="704">
                  <c:v>2568.02</c:v>
                </c:pt>
                <c:pt idx="705">
                  <c:v>2569.52</c:v>
                </c:pt>
                <c:pt idx="706">
                  <c:v>2567.1799999999998</c:v>
                </c:pt>
                <c:pt idx="707">
                  <c:v>2526.14</c:v>
                </c:pt>
                <c:pt idx="708">
                  <c:v>2533.91</c:v>
                </c:pt>
                <c:pt idx="709">
                  <c:v>2563</c:v>
                </c:pt>
                <c:pt idx="710">
                  <c:v>2558.91</c:v>
                </c:pt>
                <c:pt idx="711">
                  <c:v>2552.7399999999998</c:v>
                </c:pt>
                <c:pt idx="712">
                  <c:v>2537.9</c:v>
                </c:pt>
                <c:pt idx="713">
                  <c:v>2555.23</c:v>
                </c:pt>
                <c:pt idx="714">
                  <c:v>2468.9</c:v>
                </c:pt>
                <c:pt idx="715">
                  <c:v>2366.13</c:v>
                </c:pt>
                <c:pt idx="716">
                  <c:v>2431.9699999999998</c:v>
                </c:pt>
                <c:pt idx="717">
                  <c:v>2418.67</c:v>
                </c:pt>
                <c:pt idx="718">
                  <c:v>2434.71</c:v>
                </c:pt>
                <c:pt idx="719">
                  <c:v>2448.9</c:v>
                </c:pt>
                <c:pt idx="720">
                  <c:v>2471.71</c:v>
                </c:pt>
                <c:pt idx="721">
                  <c:v>2463.79</c:v>
                </c:pt>
                <c:pt idx="722">
                  <c:v>2442.87</c:v>
                </c:pt>
                <c:pt idx="723">
                  <c:v>2409.9</c:v>
                </c:pt>
                <c:pt idx="724">
                  <c:v>2416.73</c:v>
                </c:pt>
                <c:pt idx="725">
                  <c:v>2415.83</c:v>
                </c:pt>
                <c:pt idx="726">
                  <c:v>2407.46</c:v>
                </c:pt>
                <c:pt idx="727">
                  <c:v>2414.54</c:v>
                </c:pt>
                <c:pt idx="728">
                  <c:v>2376.19</c:v>
                </c:pt>
                <c:pt idx="729">
                  <c:v>2384.5</c:v>
                </c:pt>
                <c:pt idx="730">
                  <c:v>2378.48</c:v>
                </c:pt>
                <c:pt idx="731">
                  <c:v>2341.5300000000002</c:v>
                </c:pt>
                <c:pt idx="732">
                  <c:v>2365.83</c:v>
                </c:pt>
                <c:pt idx="733">
                  <c:v>2377.6799999999998</c:v>
                </c:pt>
                <c:pt idx="734">
                  <c:v>2394.56</c:v>
                </c:pt>
                <c:pt idx="735">
                  <c:v>2397.5500000000002</c:v>
                </c:pt>
                <c:pt idx="736">
                  <c:v>2378.63</c:v>
                </c:pt>
                <c:pt idx="737">
                  <c:v>2384.6</c:v>
                </c:pt>
                <c:pt idx="738">
                  <c:v>2394.7199999999998</c:v>
                </c:pt>
                <c:pt idx="739">
                  <c:v>2395.7600000000002</c:v>
                </c:pt>
                <c:pt idx="740">
                  <c:v>2411.9499999999998</c:v>
                </c:pt>
                <c:pt idx="741">
                  <c:v>2402.73</c:v>
                </c:pt>
                <c:pt idx="742">
                  <c:v>2400.14</c:v>
                </c:pt>
                <c:pt idx="743">
                  <c:v>2416.1999999999998</c:v>
                </c:pt>
                <c:pt idx="744">
                  <c:v>2412.39</c:v>
                </c:pt>
                <c:pt idx="745">
                  <c:v>2390.33</c:v>
                </c:pt>
                <c:pt idx="746">
                  <c:v>2391.2800000000002</c:v>
                </c:pt>
                <c:pt idx="747">
                  <c:v>2409.9499999999998</c:v>
                </c:pt>
                <c:pt idx="748">
                  <c:v>2380.37</c:v>
                </c:pt>
                <c:pt idx="749">
                  <c:v>2368.7199999999998</c:v>
                </c:pt>
                <c:pt idx="750">
                  <c:v>2303.4299999999998</c:v>
                </c:pt>
                <c:pt idx="751">
                  <c:v>2325.34</c:v>
                </c:pt>
                <c:pt idx="752">
                  <c:v>2318.4699999999998</c:v>
                </c:pt>
                <c:pt idx="753">
                  <c:v>2290.83</c:v>
                </c:pt>
                <c:pt idx="754">
                  <c:v>2257.96</c:v>
                </c:pt>
                <c:pt idx="755">
                  <c:v>2233.06</c:v>
                </c:pt>
                <c:pt idx="756">
                  <c:v>2233.46</c:v>
                </c:pt>
                <c:pt idx="757">
                  <c:v>2247.6</c:v>
                </c:pt>
                <c:pt idx="758">
                  <c:v>2231.12</c:v>
                </c:pt>
                <c:pt idx="759">
                  <c:v>2230.8200000000002</c:v>
                </c:pt>
                <c:pt idx="760">
                  <c:v>2255.37</c:v>
                </c:pt>
                <c:pt idx="761">
                  <c:v>2276.83</c:v>
                </c:pt>
                <c:pt idx="762">
                  <c:v>2277.63</c:v>
                </c:pt>
                <c:pt idx="763">
                  <c:v>2256.2199999999998</c:v>
                </c:pt>
                <c:pt idx="764">
                  <c:v>2255.9699999999998</c:v>
                </c:pt>
                <c:pt idx="765">
                  <c:v>2257.96</c:v>
                </c:pt>
                <c:pt idx="766">
                  <c:v>2259.9499999999998</c:v>
                </c:pt>
                <c:pt idx="767">
                  <c:v>2255.17</c:v>
                </c:pt>
                <c:pt idx="768">
                  <c:v>2251.9299999999998</c:v>
                </c:pt>
                <c:pt idx="769">
                  <c:v>2223.4499999999998</c:v>
                </c:pt>
                <c:pt idx="770">
                  <c:v>2185.35</c:v>
                </c:pt>
                <c:pt idx="771">
                  <c:v>2211.9899999999998</c:v>
                </c:pt>
                <c:pt idx="772">
                  <c:v>2206.02</c:v>
                </c:pt>
                <c:pt idx="773">
                  <c:v>2222.75</c:v>
                </c:pt>
                <c:pt idx="774">
                  <c:v>2232.61</c:v>
                </c:pt>
                <c:pt idx="775">
                  <c:v>2253.7800000000002</c:v>
                </c:pt>
                <c:pt idx="776">
                  <c:v>2251.29</c:v>
                </c:pt>
                <c:pt idx="777">
                  <c:v>2222</c:v>
                </c:pt>
                <c:pt idx="778">
                  <c:v>2213.83</c:v>
                </c:pt>
                <c:pt idx="779">
                  <c:v>2217.27</c:v>
                </c:pt>
                <c:pt idx="780">
                  <c:v>2221.6</c:v>
                </c:pt>
                <c:pt idx="781">
                  <c:v>2217.4699999999998</c:v>
                </c:pt>
                <c:pt idx="782">
                  <c:v>2208.2600000000002</c:v>
                </c:pt>
                <c:pt idx="783">
                  <c:v>2247.25</c:v>
                </c:pt>
                <c:pt idx="784">
                  <c:v>2369.96</c:v>
                </c:pt>
                <c:pt idx="785">
                  <c:v>2331.7600000000002</c:v>
                </c:pt>
                <c:pt idx="786">
                  <c:v>2316.4299999999998</c:v>
                </c:pt>
                <c:pt idx="787">
                  <c:v>2353.1799999999998</c:v>
                </c:pt>
                <c:pt idx="788">
                  <c:v>2351.29</c:v>
                </c:pt>
                <c:pt idx="789">
                  <c:v>2340.2800000000002</c:v>
                </c:pt>
                <c:pt idx="790">
                  <c:v>2314.09</c:v>
                </c:pt>
                <c:pt idx="791">
                  <c:v>2333.86</c:v>
                </c:pt>
                <c:pt idx="792">
                  <c:v>2311.15</c:v>
                </c:pt>
                <c:pt idx="793">
                  <c:v>2327.15</c:v>
                </c:pt>
                <c:pt idx="794">
                  <c:v>2301.54</c:v>
                </c:pt>
                <c:pt idx="795">
                  <c:v>2357.5100000000002</c:v>
                </c:pt>
                <c:pt idx="796">
                  <c:v>2373.0500000000002</c:v>
                </c:pt>
                <c:pt idx="797">
                  <c:v>2359.65</c:v>
                </c:pt>
                <c:pt idx="798">
                  <c:v>2375.04</c:v>
                </c:pt>
                <c:pt idx="799">
                  <c:v>2386.4499999999998</c:v>
                </c:pt>
                <c:pt idx="800">
                  <c:v>2363.9899999999998</c:v>
                </c:pt>
                <c:pt idx="801">
                  <c:v>2342.0700000000002</c:v>
                </c:pt>
                <c:pt idx="802">
                  <c:v>2319.81</c:v>
                </c:pt>
                <c:pt idx="803">
                  <c:v>2346.56</c:v>
                </c:pt>
                <c:pt idx="804">
                  <c:v>2486.4</c:v>
                </c:pt>
                <c:pt idx="805">
                  <c:v>2592.4299999999998</c:v>
                </c:pt>
                <c:pt idx="806">
                  <c:v>2539.4899999999998</c:v>
                </c:pt>
                <c:pt idx="807">
                  <c:v>2567.58</c:v>
                </c:pt>
                <c:pt idx="808">
                  <c:v>2555.1799999999998</c:v>
                </c:pt>
                <c:pt idx="809">
                  <c:v>2546.21</c:v>
                </c:pt>
                <c:pt idx="810">
                  <c:v>2518.67</c:v>
                </c:pt>
                <c:pt idx="811">
                  <c:v>2477.5300000000002</c:v>
                </c:pt>
                <c:pt idx="812">
                  <c:v>2469.92</c:v>
                </c:pt>
                <c:pt idx="813">
                  <c:v>2476.39</c:v>
                </c:pt>
                <c:pt idx="814">
                  <c:v>2447.2600000000002</c:v>
                </c:pt>
                <c:pt idx="815">
                  <c:v>2472.36</c:v>
                </c:pt>
                <c:pt idx="816">
                  <c:v>2431.62</c:v>
                </c:pt>
                <c:pt idx="817">
                  <c:v>2432.5100000000002</c:v>
                </c:pt>
                <c:pt idx="818">
                  <c:v>2422.5500000000002</c:v>
                </c:pt>
                <c:pt idx="819">
                  <c:v>2435.9</c:v>
                </c:pt>
                <c:pt idx="820">
                  <c:v>2452.39</c:v>
                </c:pt>
                <c:pt idx="821">
                  <c:v>2463.2399999999998</c:v>
                </c:pt>
                <c:pt idx="822">
                  <c:v>2495.17</c:v>
                </c:pt>
                <c:pt idx="823">
                  <c:v>2475.29</c:v>
                </c:pt>
                <c:pt idx="824">
                  <c:v>2500.39</c:v>
                </c:pt>
                <c:pt idx="825">
                  <c:v>2486.0500000000002</c:v>
                </c:pt>
                <c:pt idx="826">
                  <c:v>2536.9</c:v>
                </c:pt>
                <c:pt idx="827">
                  <c:v>2576.89</c:v>
                </c:pt>
                <c:pt idx="828">
                  <c:v>2579.88</c:v>
                </c:pt>
                <c:pt idx="829">
                  <c:v>2600.1</c:v>
                </c:pt>
                <c:pt idx="830">
                  <c:v>2598.5</c:v>
                </c:pt>
                <c:pt idx="831">
                  <c:v>2611.85</c:v>
                </c:pt>
                <c:pt idx="832">
                  <c:v>2609.91</c:v>
                </c:pt>
                <c:pt idx="833">
                  <c:v>2677.79</c:v>
                </c:pt>
                <c:pt idx="834">
                  <c:v>2727.54</c:v>
                </c:pt>
                <c:pt idx="835">
                  <c:v>2716.19</c:v>
                </c:pt>
                <c:pt idx="836">
                  <c:v>2724.45</c:v>
                </c:pt>
                <c:pt idx="837">
                  <c:v>2755.38</c:v>
                </c:pt>
                <c:pt idx="838">
                  <c:v>2706.27</c:v>
                </c:pt>
                <c:pt idx="839">
                  <c:v>2696.46</c:v>
                </c:pt>
                <c:pt idx="840">
                  <c:v>2700.3</c:v>
                </c:pt>
                <c:pt idx="841">
                  <c:v>2700.85</c:v>
                </c:pt>
                <c:pt idx="842">
                  <c:v>2680.73</c:v>
                </c:pt>
                <c:pt idx="843">
                  <c:v>2694.92</c:v>
                </c:pt>
                <c:pt idx="844">
                  <c:v>2704.78</c:v>
                </c:pt>
                <c:pt idx="845">
                  <c:v>2681.87</c:v>
                </c:pt>
                <c:pt idx="846">
                  <c:v>2705.13</c:v>
                </c:pt>
                <c:pt idx="847">
                  <c:v>2739.14</c:v>
                </c:pt>
                <c:pt idx="848">
                  <c:v>2733.17</c:v>
                </c:pt>
                <c:pt idx="849">
                  <c:v>2722.36</c:v>
                </c:pt>
                <c:pt idx="850">
                  <c:v>2736.3</c:v>
                </c:pt>
                <c:pt idx="851">
                  <c:v>2737.8</c:v>
                </c:pt>
                <c:pt idx="852">
                  <c:v>2730.53</c:v>
                </c:pt>
                <c:pt idx="853">
                  <c:v>2711.25</c:v>
                </c:pt>
                <c:pt idx="854">
                  <c:v>2737.35</c:v>
                </c:pt>
                <c:pt idx="855">
                  <c:v>2731.67</c:v>
                </c:pt>
                <c:pt idx="856">
                  <c:v>2740.14</c:v>
                </c:pt>
                <c:pt idx="857">
                  <c:v>2780.13</c:v>
                </c:pt>
                <c:pt idx="858">
                  <c:v>2781.72</c:v>
                </c:pt>
                <c:pt idx="859">
                  <c:v>2804.43</c:v>
                </c:pt>
                <c:pt idx="860">
                  <c:v>2809.96</c:v>
                </c:pt>
                <c:pt idx="861">
                  <c:v>2755.93</c:v>
                </c:pt>
                <c:pt idx="862">
                  <c:v>2753.39</c:v>
                </c:pt>
                <c:pt idx="863">
                  <c:v>2774.2</c:v>
                </c:pt>
                <c:pt idx="864">
                  <c:v>2766.98</c:v>
                </c:pt>
                <c:pt idx="865">
                  <c:v>2777.99</c:v>
                </c:pt>
                <c:pt idx="866">
                  <c:v>2783.22</c:v>
                </c:pt>
                <c:pt idx="867">
                  <c:v>2829.98</c:v>
                </c:pt>
                <c:pt idx="868">
                  <c:v>2827.19</c:v>
                </c:pt>
                <c:pt idx="869">
                  <c:v>2827.69</c:v>
                </c:pt>
                <c:pt idx="870">
                  <c:v>2910.21</c:v>
                </c:pt>
                <c:pt idx="871">
                  <c:v>2887.1</c:v>
                </c:pt>
                <c:pt idx="872">
                  <c:v>2892.63</c:v>
                </c:pt>
                <c:pt idx="873">
                  <c:v>2944.68</c:v>
                </c:pt>
                <c:pt idx="874">
                  <c:v>2921.32</c:v>
                </c:pt>
                <c:pt idx="875">
                  <c:v>2855.73</c:v>
                </c:pt>
                <c:pt idx="876">
                  <c:v>2862.1</c:v>
                </c:pt>
                <c:pt idx="877">
                  <c:v>2864.44</c:v>
                </c:pt>
                <c:pt idx="878">
                  <c:v>2900.2</c:v>
                </c:pt>
                <c:pt idx="879">
                  <c:v>2965.79</c:v>
                </c:pt>
                <c:pt idx="880">
                  <c:v>3016.54</c:v>
                </c:pt>
                <c:pt idx="881">
                  <c:v>2938.85</c:v>
                </c:pt>
                <c:pt idx="882">
                  <c:v>2937.25</c:v>
                </c:pt>
                <c:pt idx="883">
                  <c:v>2974.26</c:v>
                </c:pt>
                <c:pt idx="884">
                  <c:v>2954.49</c:v>
                </c:pt>
                <c:pt idx="885">
                  <c:v>2946.57</c:v>
                </c:pt>
                <c:pt idx="886">
                  <c:v>2912.15</c:v>
                </c:pt>
                <c:pt idx="887">
                  <c:v>2881.88</c:v>
                </c:pt>
                <c:pt idx="888">
                  <c:v>2837.45</c:v>
                </c:pt>
                <c:pt idx="889">
                  <c:v>2822.16</c:v>
                </c:pt>
                <c:pt idx="890">
                  <c:v>2807.62</c:v>
                </c:pt>
                <c:pt idx="891">
                  <c:v>2757.97</c:v>
                </c:pt>
                <c:pt idx="892">
                  <c:v>2743.77</c:v>
                </c:pt>
                <c:pt idx="893">
                  <c:v>2772.16</c:v>
                </c:pt>
                <c:pt idx="894">
                  <c:v>2778.04</c:v>
                </c:pt>
                <c:pt idx="895">
                  <c:v>2770.42</c:v>
                </c:pt>
                <c:pt idx="896">
                  <c:v>2770.22</c:v>
                </c:pt>
                <c:pt idx="897">
                  <c:v>2727.79</c:v>
                </c:pt>
                <c:pt idx="898">
                  <c:v>2706.32</c:v>
                </c:pt>
                <c:pt idx="899">
                  <c:v>2682.87</c:v>
                </c:pt>
                <c:pt idx="900">
                  <c:v>2671.06</c:v>
                </c:pt>
                <c:pt idx="901">
                  <c:v>2648.75</c:v>
                </c:pt>
                <c:pt idx="902">
                  <c:v>2495.17</c:v>
                </c:pt>
                <c:pt idx="903">
                  <c:v>2518.02</c:v>
                </c:pt>
                <c:pt idx="904">
                  <c:v>2565.58</c:v>
                </c:pt>
                <c:pt idx="905">
                  <c:v>2537.5500000000002</c:v>
                </c:pt>
                <c:pt idx="906">
                  <c:v>2544.8200000000002</c:v>
                </c:pt>
                <c:pt idx="907">
                  <c:v>2518.2199999999998</c:v>
                </c:pt>
                <c:pt idx="908">
                  <c:v>2527.44</c:v>
                </c:pt>
                <c:pt idx="909">
                  <c:v>2514.79</c:v>
                </c:pt>
                <c:pt idx="910">
                  <c:v>2511.35</c:v>
                </c:pt>
                <c:pt idx="911">
                  <c:v>2500.6999999999998</c:v>
                </c:pt>
                <c:pt idx="912">
                  <c:v>2475.5</c:v>
                </c:pt>
                <c:pt idx="913">
                  <c:v>2507.6999999999998</c:v>
                </c:pt>
                <c:pt idx="914">
                  <c:v>2491.0500000000002</c:v>
                </c:pt>
                <c:pt idx="915">
                  <c:v>2461.5</c:v>
                </c:pt>
                <c:pt idx="916">
                  <c:v>2464.9499999999998</c:v>
                </c:pt>
                <c:pt idx="917">
                  <c:v>2389.1999999999998</c:v>
                </c:pt>
                <c:pt idx="918">
                  <c:v>2422.9</c:v>
                </c:pt>
                <c:pt idx="919">
                  <c:v>2410.35</c:v>
                </c:pt>
                <c:pt idx="920">
                  <c:v>2382.8000000000002</c:v>
                </c:pt>
                <c:pt idx="921">
                  <c:v>2445.25</c:v>
                </c:pt>
                <c:pt idx="922">
                  <c:v>2471.4499999999998</c:v>
                </c:pt>
                <c:pt idx="923">
                  <c:v>2479.1999999999998</c:v>
                </c:pt>
                <c:pt idx="924">
                  <c:v>2486.9</c:v>
                </c:pt>
                <c:pt idx="925">
                  <c:v>2462.1999999999998</c:v>
                </c:pt>
                <c:pt idx="926">
                  <c:v>2496.15</c:v>
                </c:pt>
                <c:pt idx="927">
                  <c:v>2479.15</c:v>
                </c:pt>
                <c:pt idx="928">
                  <c:v>2482.85</c:v>
                </c:pt>
                <c:pt idx="929">
                  <c:v>2464.5</c:v>
                </c:pt>
                <c:pt idx="930">
                  <c:v>2494.6</c:v>
                </c:pt>
                <c:pt idx="931">
                  <c:v>2483.8000000000002</c:v>
                </c:pt>
                <c:pt idx="932">
                  <c:v>2400.75</c:v>
                </c:pt>
                <c:pt idx="933">
                  <c:v>2397.35</c:v>
                </c:pt>
                <c:pt idx="934">
                  <c:v>2401.35</c:v>
                </c:pt>
                <c:pt idx="935">
                  <c:v>2344.9499999999998</c:v>
                </c:pt>
                <c:pt idx="936">
                  <c:v>2390.1</c:v>
                </c:pt>
                <c:pt idx="937">
                  <c:v>2366.15</c:v>
                </c:pt>
                <c:pt idx="938">
                  <c:v>2363.25</c:v>
                </c:pt>
                <c:pt idx="939">
                  <c:v>2359.1999999999998</c:v>
                </c:pt>
                <c:pt idx="940">
                  <c:v>2359.85</c:v>
                </c:pt>
                <c:pt idx="941">
                  <c:v>2333.9</c:v>
                </c:pt>
                <c:pt idx="942">
                  <c:v>2338.9</c:v>
                </c:pt>
                <c:pt idx="943">
                  <c:v>2335.5500000000002</c:v>
                </c:pt>
                <c:pt idx="944">
                  <c:v>2332.75</c:v>
                </c:pt>
                <c:pt idx="945">
                  <c:v>2341.25</c:v>
                </c:pt>
                <c:pt idx="946">
                  <c:v>2343.5</c:v>
                </c:pt>
                <c:pt idx="947">
                  <c:v>2326.85</c:v>
                </c:pt>
                <c:pt idx="948">
                  <c:v>2322.1</c:v>
                </c:pt>
                <c:pt idx="949">
                  <c:v>2370</c:v>
                </c:pt>
                <c:pt idx="950">
                  <c:v>2406.25</c:v>
                </c:pt>
                <c:pt idx="951">
                  <c:v>2376.1999999999998</c:v>
                </c:pt>
                <c:pt idx="952">
                  <c:v>2390.8000000000002</c:v>
                </c:pt>
                <c:pt idx="953">
                  <c:v>2401</c:v>
                </c:pt>
                <c:pt idx="954">
                  <c:v>2435.4</c:v>
                </c:pt>
                <c:pt idx="955">
                  <c:v>2442.0500000000002</c:v>
                </c:pt>
                <c:pt idx="956">
                  <c:v>2451</c:v>
                </c:pt>
                <c:pt idx="957">
                  <c:v>2367.9499999999998</c:v>
                </c:pt>
                <c:pt idx="958">
                  <c:v>2373</c:v>
                </c:pt>
                <c:pt idx="959">
                  <c:v>2345</c:v>
                </c:pt>
                <c:pt idx="960">
                  <c:v>2354</c:v>
                </c:pt>
                <c:pt idx="961">
                  <c:v>2345.1999999999998</c:v>
                </c:pt>
                <c:pt idx="962">
                  <c:v>2340.5</c:v>
                </c:pt>
                <c:pt idx="963">
                  <c:v>2342.9499999999998</c:v>
                </c:pt>
                <c:pt idx="964">
                  <c:v>2321.6999999999998</c:v>
                </c:pt>
                <c:pt idx="965">
                  <c:v>2368.1</c:v>
                </c:pt>
                <c:pt idx="966">
                  <c:v>2392.85</c:v>
                </c:pt>
                <c:pt idx="967">
                  <c:v>2388.85</c:v>
                </c:pt>
                <c:pt idx="968">
                  <c:v>2383.9499999999998</c:v>
                </c:pt>
                <c:pt idx="969">
                  <c:v>2408.75</c:v>
                </c:pt>
                <c:pt idx="970">
                  <c:v>2468.8000000000002</c:v>
                </c:pt>
                <c:pt idx="971">
                  <c:v>2506.0500000000002</c:v>
                </c:pt>
                <c:pt idx="972">
                  <c:v>2441.9499999999998</c:v>
                </c:pt>
                <c:pt idx="973">
                  <c:v>2438.0500000000002</c:v>
                </c:pt>
                <c:pt idx="974">
                  <c:v>2391.0500000000002</c:v>
                </c:pt>
                <c:pt idx="975">
                  <c:v>2372.6999999999998</c:v>
                </c:pt>
                <c:pt idx="976">
                  <c:v>2363.85</c:v>
                </c:pt>
                <c:pt idx="977">
                  <c:v>2361.4499999999998</c:v>
                </c:pt>
                <c:pt idx="978">
                  <c:v>2315.25</c:v>
                </c:pt>
                <c:pt idx="979">
                  <c:v>2332.5</c:v>
                </c:pt>
                <c:pt idx="980">
                  <c:v>2321.5</c:v>
                </c:pt>
                <c:pt idx="981">
                  <c:v>2318.35</c:v>
                </c:pt>
                <c:pt idx="982">
                  <c:v>2329.4</c:v>
                </c:pt>
                <c:pt idx="983">
                  <c:v>2296</c:v>
                </c:pt>
                <c:pt idx="984">
                  <c:v>2250.4</c:v>
                </c:pt>
                <c:pt idx="985">
                  <c:v>2248.0500000000002</c:v>
                </c:pt>
                <c:pt idx="986">
                  <c:v>2241.65</c:v>
                </c:pt>
                <c:pt idx="987">
                  <c:v>2241.4499999999998</c:v>
                </c:pt>
                <c:pt idx="988">
                  <c:v>2259.3000000000002</c:v>
                </c:pt>
                <c:pt idx="989">
                  <c:v>2244.9499999999998</c:v>
                </c:pt>
                <c:pt idx="990">
                  <c:v>2190.25</c:v>
                </c:pt>
                <c:pt idx="991">
                  <c:v>2176.85</c:v>
                </c:pt>
                <c:pt idx="992">
                  <c:v>2157.35</c:v>
                </c:pt>
                <c:pt idx="993">
                  <c:v>2170.4499999999998</c:v>
                </c:pt>
                <c:pt idx="994">
                  <c:v>2218.9499999999998</c:v>
                </c:pt>
                <c:pt idx="995">
                  <c:v>2204.5500000000002</c:v>
                </c:pt>
                <c:pt idx="996">
                  <c:v>2247.75</c:v>
                </c:pt>
                <c:pt idx="997">
                  <c:v>2216.9499999999998</c:v>
                </c:pt>
                <c:pt idx="998">
                  <c:v>2192.9</c:v>
                </c:pt>
                <c:pt idx="999">
                  <c:v>2174.8000000000002</c:v>
                </c:pt>
                <c:pt idx="1000">
                  <c:v>2171.25</c:v>
                </c:pt>
                <c:pt idx="1001">
                  <c:v>2201.4</c:v>
                </c:pt>
                <c:pt idx="1002">
                  <c:v>2200.0500000000002</c:v>
                </c:pt>
                <c:pt idx="1003">
                  <c:v>2242.4</c:v>
                </c:pt>
                <c:pt idx="1004">
                  <c:v>2246.1999999999998</c:v>
                </c:pt>
                <c:pt idx="1005">
                  <c:v>2256.1999999999998</c:v>
                </c:pt>
                <c:pt idx="1006">
                  <c:v>2271.3000000000002</c:v>
                </c:pt>
                <c:pt idx="1007">
                  <c:v>2245.9499999999998</c:v>
                </c:pt>
                <c:pt idx="1008">
                  <c:v>2244.65</c:v>
                </c:pt>
                <c:pt idx="1009">
                  <c:v>2258.85</c:v>
                </c:pt>
                <c:pt idx="1010">
                  <c:v>2233.85</c:v>
                </c:pt>
                <c:pt idx="1011">
                  <c:v>2237.9</c:v>
                </c:pt>
                <c:pt idx="1012">
                  <c:v>2244.5500000000002</c:v>
                </c:pt>
                <c:pt idx="1013">
                  <c:v>2244.5500000000002</c:v>
                </c:pt>
                <c:pt idx="1014">
                  <c:v>2249.4</c:v>
                </c:pt>
                <c:pt idx="1015">
                  <c:v>2289.25</c:v>
                </c:pt>
                <c:pt idx="1016">
                  <c:v>2350</c:v>
                </c:pt>
                <c:pt idx="1017">
                  <c:v>2366.15</c:v>
                </c:pt>
                <c:pt idx="1018">
                  <c:v>2361.5</c:v>
                </c:pt>
                <c:pt idx="1019">
                  <c:v>2366.6</c:v>
                </c:pt>
                <c:pt idx="1020">
                  <c:v>2375</c:v>
                </c:pt>
                <c:pt idx="1021">
                  <c:v>2351</c:v>
                </c:pt>
                <c:pt idx="1022">
                  <c:v>2398.6999999999998</c:v>
                </c:pt>
                <c:pt idx="1023">
                  <c:v>2423.8000000000002</c:v>
                </c:pt>
                <c:pt idx="1024">
                  <c:v>2325.3000000000002</c:v>
                </c:pt>
                <c:pt idx="1025">
                  <c:v>2332.1999999999998</c:v>
                </c:pt>
                <c:pt idx="1026">
                  <c:v>2318.6</c:v>
                </c:pt>
                <c:pt idx="1027">
                  <c:v>2321.6999999999998</c:v>
                </c:pt>
                <c:pt idx="1028">
                  <c:v>2342.1</c:v>
                </c:pt>
                <c:pt idx="1029">
                  <c:v>2323.9</c:v>
                </c:pt>
                <c:pt idx="1030">
                  <c:v>2348.6</c:v>
                </c:pt>
                <c:pt idx="1031">
                  <c:v>2381.8000000000002</c:v>
                </c:pt>
                <c:pt idx="1032">
                  <c:v>2370.8000000000002</c:v>
                </c:pt>
                <c:pt idx="1033">
                  <c:v>2354.9</c:v>
                </c:pt>
                <c:pt idx="1034">
                  <c:v>2332.9</c:v>
                </c:pt>
                <c:pt idx="1035">
                  <c:v>2382.5</c:v>
                </c:pt>
                <c:pt idx="1036">
                  <c:v>2360</c:v>
                </c:pt>
                <c:pt idx="1037">
                  <c:v>2350.5</c:v>
                </c:pt>
                <c:pt idx="1038">
                  <c:v>2355.1999999999998</c:v>
                </c:pt>
                <c:pt idx="1039">
                  <c:v>2381.4</c:v>
                </c:pt>
                <c:pt idx="1040">
                  <c:v>2382.6999999999998</c:v>
                </c:pt>
                <c:pt idx="1041">
                  <c:v>2341.1</c:v>
                </c:pt>
                <c:pt idx="1042">
                  <c:v>2363.9</c:v>
                </c:pt>
                <c:pt idx="1043">
                  <c:v>2330.6999999999998</c:v>
                </c:pt>
                <c:pt idx="1044">
                  <c:v>2359.1999999999998</c:v>
                </c:pt>
                <c:pt idx="1045">
                  <c:v>2394.1</c:v>
                </c:pt>
                <c:pt idx="1046">
                  <c:v>2380.1999999999998</c:v>
                </c:pt>
                <c:pt idx="1047">
                  <c:v>2362</c:v>
                </c:pt>
                <c:pt idx="1048">
                  <c:v>2366.6999999999998</c:v>
                </c:pt>
                <c:pt idx="1049">
                  <c:v>2348.3000000000002</c:v>
                </c:pt>
                <c:pt idx="1050">
                  <c:v>2371.6</c:v>
                </c:pt>
                <c:pt idx="1051">
                  <c:v>2352.3000000000002</c:v>
                </c:pt>
                <c:pt idx="1052">
                  <c:v>2364.5</c:v>
                </c:pt>
                <c:pt idx="1053">
                  <c:v>2376.4</c:v>
                </c:pt>
                <c:pt idx="1054">
                  <c:v>2389.8000000000002</c:v>
                </c:pt>
                <c:pt idx="1055">
                  <c:v>2393.1999999999998</c:v>
                </c:pt>
                <c:pt idx="1056">
                  <c:v>2395.1999999999998</c:v>
                </c:pt>
                <c:pt idx="1057">
                  <c:v>2376.4</c:v>
                </c:pt>
                <c:pt idx="1058">
                  <c:v>2332.6999999999998</c:v>
                </c:pt>
                <c:pt idx="1059">
                  <c:v>2319</c:v>
                </c:pt>
                <c:pt idx="1060">
                  <c:v>2327.4</c:v>
                </c:pt>
                <c:pt idx="1061">
                  <c:v>2328.6</c:v>
                </c:pt>
                <c:pt idx="1062">
                  <c:v>2297.3000000000002</c:v>
                </c:pt>
                <c:pt idx="1063">
                  <c:v>2294.1999999999998</c:v>
                </c:pt>
                <c:pt idx="1064">
                  <c:v>2306.1999999999998</c:v>
                </c:pt>
                <c:pt idx="1065">
                  <c:v>2275.1</c:v>
                </c:pt>
                <c:pt idx="1066">
                  <c:v>2263.1</c:v>
                </c:pt>
                <c:pt idx="1067">
                  <c:v>2278.6999999999998</c:v>
                </c:pt>
                <c:pt idx="1068">
                  <c:v>2280.8000000000002</c:v>
                </c:pt>
                <c:pt idx="1069">
                  <c:v>2306.9</c:v>
                </c:pt>
                <c:pt idx="1070">
                  <c:v>2294.6</c:v>
                </c:pt>
                <c:pt idx="1071">
                  <c:v>2295.5</c:v>
                </c:pt>
                <c:pt idx="1072">
                  <c:v>2307.1</c:v>
                </c:pt>
                <c:pt idx="1073">
                  <c:v>2313.4</c:v>
                </c:pt>
                <c:pt idx="1074">
                  <c:v>2339.3000000000002</c:v>
                </c:pt>
                <c:pt idx="1075">
                  <c:v>2410.4</c:v>
                </c:pt>
                <c:pt idx="1076">
                  <c:v>2392.6999999999998</c:v>
                </c:pt>
                <c:pt idx="1077">
                  <c:v>2423.4</c:v>
                </c:pt>
                <c:pt idx="1078">
                  <c:v>2408.4</c:v>
                </c:pt>
                <c:pt idx="1079">
                  <c:v>2519.6</c:v>
                </c:pt>
                <c:pt idx="1080">
                  <c:v>2516.6</c:v>
                </c:pt>
                <c:pt idx="1081">
                  <c:v>2526.9</c:v>
                </c:pt>
                <c:pt idx="1082">
                  <c:v>2517.6</c:v>
                </c:pt>
                <c:pt idx="1083">
                  <c:v>2509.8000000000002</c:v>
                </c:pt>
                <c:pt idx="1084">
                  <c:v>2489.6</c:v>
                </c:pt>
                <c:pt idx="1085">
                  <c:v>2464.9</c:v>
                </c:pt>
                <c:pt idx="1086">
                  <c:v>2479.6999999999998</c:v>
                </c:pt>
                <c:pt idx="1087">
                  <c:v>2450.4</c:v>
                </c:pt>
                <c:pt idx="1088">
                  <c:v>2437.8000000000002</c:v>
                </c:pt>
                <c:pt idx="1089">
                  <c:v>2415.4</c:v>
                </c:pt>
                <c:pt idx="1090">
                  <c:v>2441.6</c:v>
                </c:pt>
                <c:pt idx="1091">
                  <c:v>2453.6</c:v>
                </c:pt>
                <c:pt idx="1092">
                  <c:v>2437.4</c:v>
                </c:pt>
                <c:pt idx="1093">
                  <c:v>2521.1999999999998</c:v>
                </c:pt>
                <c:pt idx="1094">
                  <c:v>2553.6999999999998</c:v>
                </c:pt>
                <c:pt idx="1095">
                  <c:v>2543.6999999999998</c:v>
                </c:pt>
                <c:pt idx="1096">
                  <c:v>2534.6999999999998</c:v>
                </c:pt>
                <c:pt idx="1097">
                  <c:v>2535.6</c:v>
                </c:pt>
                <c:pt idx="1098">
                  <c:v>2517.5</c:v>
                </c:pt>
                <c:pt idx="1099">
                  <c:v>2498.6</c:v>
                </c:pt>
                <c:pt idx="1100">
                  <c:v>2518.4</c:v>
                </c:pt>
                <c:pt idx="1101">
                  <c:v>2483.8000000000002</c:v>
                </c:pt>
                <c:pt idx="1102">
                  <c:v>2495.1</c:v>
                </c:pt>
                <c:pt idx="1103">
                  <c:v>2480.6</c:v>
                </c:pt>
                <c:pt idx="1104">
                  <c:v>2568.1</c:v>
                </c:pt>
                <c:pt idx="1105">
                  <c:v>2604.8000000000002</c:v>
                </c:pt>
                <c:pt idx="1106">
                  <c:v>2669.8</c:v>
                </c:pt>
                <c:pt idx="1107">
                  <c:v>2648</c:v>
                </c:pt>
                <c:pt idx="1108">
                  <c:v>2629.9</c:v>
                </c:pt>
                <c:pt idx="1109">
                  <c:v>2631.6</c:v>
                </c:pt>
                <c:pt idx="1110">
                  <c:v>2692.6</c:v>
                </c:pt>
                <c:pt idx="1111">
                  <c:v>2654.4</c:v>
                </c:pt>
                <c:pt idx="1112">
                  <c:v>2659.8</c:v>
                </c:pt>
                <c:pt idx="1113">
                  <c:v>2649.5</c:v>
                </c:pt>
                <c:pt idx="1114">
                  <c:v>2677</c:v>
                </c:pt>
                <c:pt idx="1115">
                  <c:v>2664.7</c:v>
                </c:pt>
                <c:pt idx="1116">
                  <c:v>2666.6</c:v>
                </c:pt>
                <c:pt idx="1117">
                  <c:v>2633.4</c:v>
                </c:pt>
                <c:pt idx="1118">
                  <c:v>2623.9</c:v>
                </c:pt>
                <c:pt idx="1119">
                  <c:v>2642</c:v>
                </c:pt>
                <c:pt idx="1120">
                  <c:v>2643.5</c:v>
                </c:pt>
                <c:pt idx="1121">
                  <c:v>2622</c:v>
                </c:pt>
                <c:pt idx="1122">
                  <c:v>2580.5</c:v>
                </c:pt>
                <c:pt idx="1123">
                  <c:v>2581</c:v>
                </c:pt>
                <c:pt idx="1124">
                  <c:v>2580.9</c:v>
                </c:pt>
                <c:pt idx="1125">
                  <c:v>2569.6999999999998</c:v>
                </c:pt>
                <c:pt idx="1126">
                  <c:v>2586.8000000000002</c:v>
                </c:pt>
                <c:pt idx="1127">
                  <c:v>2559.6</c:v>
                </c:pt>
                <c:pt idx="1128">
                  <c:v>2572.1999999999998</c:v>
                </c:pt>
                <c:pt idx="1129">
                  <c:v>2522.1999999999998</c:v>
                </c:pt>
                <c:pt idx="1130">
                  <c:v>2549.5</c:v>
                </c:pt>
                <c:pt idx="1131">
                  <c:v>2538.3000000000002</c:v>
                </c:pt>
                <c:pt idx="1132">
                  <c:v>2511.8000000000002</c:v>
                </c:pt>
                <c:pt idx="1133">
                  <c:v>2497.9</c:v>
                </c:pt>
                <c:pt idx="1134">
                  <c:v>2514.4</c:v>
                </c:pt>
                <c:pt idx="1135">
                  <c:v>2536.1999999999998</c:v>
                </c:pt>
                <c:pt idx="1136">
                  <c:v>2544.9</c:v>
                </c:pt>
                <c:pt idx="1137">
                  <c:v>2541.8000000000002</c:v>
                </c:pt>
                <c:pt idx="1138">
                  <c:v>2517.1999999999998</c:v>
                </c:pt>
                <c:pt idx="1139">
                  <c:v>2500.1</c:v>
                </c:pt>
                <c:pt idx="1140">
                  <c:v>2517.6</c:v>
                </c:pt>
                <c:pt idx="1141">
                  <c:v>2528.9</c:v>
                </c:pt>
                <c:pt idx="1142">
                  <c:v>2492.8000000000002</c:v>
                </c:pt>
                <c:pt idx="1143">
                  <c:v>2502.3000000000002</c:v>
                </c:pt>
                <c:pt idx="1144">
                  <c:v>2519</c:v>
                </c:pt>
                <c:pt idx="1145">
                  <c:v>2561.5</c:v>
                </c:pt>
                <c:pt idx="1146">
                  <c:v>2603.6999999999998</c:v>
                </c:pt>
                <c:pt idx="1147">
                  <c:v>2594.4</c:v>
                </c:pt>
                <c:pt idx="1148">
                  <c:v>2591.6999999999998</c:v>
                </c:pt>
                <c:pt idx="1149">
                  <c:v>2601.6</c:v>
                </c:pt>
                <c:pt idx="1150">
                  <c:v>2516.4</c:v>
                </c:pt>
                <c:pt idx="1151">
                  <c:v>2511.8000000000002</c:v>
                </c:pt>
                <c:pt idx="1152">
                  <c:v>2497.1</c:v>
                </c:pt>
                <c:pt idx="1153">
                  <c:v>2488.1</c:v>
                </c:pt>
                <c:pt idx="1154">
                  <c:v>2469.6</c:v>
                </c:pt>
                <c:pt idx="1155">
                  <c:v>2465.5</c:v>
                </c:pt>
                <c:pt idx="1156">
                  <c:v>2460</c:v>
                </c:pt>
                <c:pt idx="1157">
                  <c:v>2445.6999999999998</c:v>
                </c:pt>
                <c:pt idx="1158">
                  <c:v>2436</c:v>
                </c:pt>
                <c:pt idx="1159">
                  <c:v>2414</c:v>
                </c:pt>
                <c:pt idx="1160">
                  <c:v>2408.8000000000002</c:v>
                </c:pt>
                <c:pt idx="1161">
                  <c:v>2427.5</c:v>
                </c:pt>
                <c:pt idx="1162">
                  <c:v>2424.5</c:v>
                </c:pt>
                <c:pt idx="1163">
                  <c:v>2407.6</c:v>
                </c:pt>
                <c:pt idx="1164">
                  <c:v>2427.6999999999998</c:v>
                </c:pt>
                <c:pt idx="1165">
                  <c:v>2425</c:v>
                </c:pt>
                <c:pt idx="1166">
                  <c:v>2404</c:v>
                </c:pt>
                <c:pt idx="1167">
                  <c:v>2441.6</c:v>
                </c:pt>
                <c:pt idx="1168">
                  <c:v>2428.4</c:v>
                </c:pt>
                <c:pt idx="1169">
                  <c:v>2433.6999999999998</c:v>
                </c:pt>
                <c:pt idx="1170">
                  <c:v>2424.1999999999998</c:v>
                </c:pt>
                <c:pt idx="1171">
                  <c:v>2414.1</c:v>
                </c:pt>
                <c:pt idx="1172">
                  <c:v>2425.1999999999998</c:v>
                </c:pt>
                <c:pt idx="1173">
                  <c:v>2451.6999999999998</c:v>
                </c:pt>
                <c:pt idx="1174">
                  <c:v>2426.33</c:v>
                </c:pt>
                <c:pt idx="1175">
                  <c:v>2424.2600000000002</c:v>
                </c:pt>
                <c:pt idx="1176">
                  <c:v>2437.34</c:v>
                </c:pt>
                <c:pt idx="1177">
                  <c:v>2408.0300000000002</c:v>
                </c:pt>
                <c:pt idx="1178">
                  <c:v>2422</c:v>
                </c:pt>
                <c:pt idx="1179">
                  <c:v>2338.6</c:v>
                </c:pt>
                <c:pt idx="1180">
                  <c:v>2314</c:v>
                </c:pt>
                <c:pt idx="1181">
                  <c:v>2306.5</c:v>
                </c:pt>
                <c:pt idx="1182">
                  <c:v>2301.6999999999998</c:v>
                </c:pt>
                <c:pt idx="1183">
                  <c:v>2305.6</c:v>
                </c:pt>
                <c:pt idx="1184">
                  <c:v>2260.6</c:v>
                </c:pt>
                <c:pt idx="1185">
                  <c:v>2293.5</c:v>
                </c:pt>
                <c:pt idx="1186">
                  <c:v>2281.1</c:v>
                </c:pt>
                <c:pt idx="1187">
                  <c:v>2275.6</c:v>
                </c:pt>
                <c:pt idx="1188">
                  <c:v>2265.5</c:v>
                </c:pt>
                <c:pt idx="1189">
                  <c:v>2280</c:v>
                </c:pt>
                <c:pt idx="1190">
                  <c:v>2289.5</c:v>
                </c:pt>
                <c:pt idx="1191">
                  <c:v>2302.6</c:v>
                </c:pt>
                <c:pt idx="1192">
                  <c:v>2282.1999999999998</c:v>
                </c:pt>
                <c:pt idx="1193">
                  <c:v>2285.4</c:v>
                </c:pt>
                <c:pt idx="1194">
                  <c:v>2293.3000000000002</c:v>
                </c:pt>
                <c:pt idx="1195">
                  <c:v>2290.1999999999998</c:v>
                </c:pt>
                <c:pt idx="1196">
                  <c:v>2315.9</c:v>
                </c:pt>
                <c:pt idx="1197">
                  <c:v>2323</c:v>
                </c:pt>
                <c:pt idx="1198">
                  <c:v>2348</c:v>
                </c:pt>
                <c:pt idx="1199">
                  <c:v>2384.1</c:v>
                </c:pt>
                <c:pt idx="1200">
                  <c:v>2424.6999999999998</c:v>
                </c:pt>
                <c:pt idx="1201">
                  <c:v>2399.4</c:v>
                </c:pt>
                <c:pt idx="1202">
                  <c:v>2386.6999999999998</c:v>
                </c:pt>
                <c:pt idx="1203">
                  <c:v>2372.6</c:v>
                </c:pt>
                <c:pt idx="1204">
                  <c:v>2406.1999999999998</c:v>
                </c:pt>
                <c:pt idx="1205">
                  <c:v>2389.5</c:v>
                </c:pt>
                <c:pt idx="1206">
                  <c:v>2353.5</c:v>
                </c:pt>
                <c:pt idx="1207">
                  <c:v>2360.4</c:v>
                </c:pt>
                <c:pt idx="1208">
                  <c:v>2413.9</c:v>
                </c:pt>
                <c:pt idx="1209">
                  <c:v>2379.1</c:v>
                </c:pt>
                <c:pt idx="1210">
                  <c:v>2368</c:v>
                </c:pt>
                <c:pt idx="1211">
                  <c:v>2390.6</c:v>
                </c:pt>
                <c:pt idx="1212">
                  <c:v>2409.5</c:v>
                </c:pt>
                <c:pt idx="1213">
                  <c:v>2400.9</c:v>
                </c:pt>
                <c:pt idx="1214">
                  <c:v>2378.4</c:v>
                </c:pt>
                <c:pt idx="1215">
                  <c:v>2352.6</c:v>
                </c:pt>
                <c:pt idx="1216">
                  <c:v>2373</c:v>
                </c:pt>
                <c:pt idx="1217">
                  <c:v>2350.6999999999998</c:v>
                </c:pt>
                <c:pt idx="1218">
                  <c:v>2357.3000000000002</c:v>
                </c:pt>
                <c:pt idx="1219">
                  <c:v>2368.6</c:v>
                </c:pt>
                <c:pt idx="1220">
                  <c:v>2371</c:v>
                </c:pt>
                <c:pt idx="1221">
                  <c:v>2354.4</c:v>
                </c:pt>
                <c:pt idx="1222">
                  <c:v>2424.1999999999998</c:v>
                </c:pt>
                <c:pt idx="1223">
                  <c:v>2435</c:v>
                </c:pt>
                <c:pt idx="1224">
                  <c:v>2453.6</c:v>
                </c:pt>
                <c:pt idx="1225">
                  <c:v>2462.9</c:v>
                </c:pt>
                <c:pt idx="1226">
                  <c:v>2409.6999999999998</c:v>
                </c:pt>
                <c:pt idx="1227">
                  <c:v>2305.1999999999998</c:v>
                </c:pt>
                <c:pt idx="1228">
                  <c:v>2319</c:v>
                </c:pt>
                <c:pt idx="1229">
                  <c:v>2312.3000000000002</c:v>
                </c:pt>
                <c:pt idx="1230">
                  <c:v>2323.5</c:v>
                </c:pt>
                <c:pt idx="1231">
                  <c:v>2279.3000000000002</c:v>
                </c:pt>
                <c:pt idx="1232">
                  <c:v>2314.5</c:v>
                </c:pt>
                <c:pt idx="1233">
                  <c:v>2345.4</c:v>
                </c:pt>
                <c:pt idx="1234">
                  <c:v>2358.6</c:v>
                </c:pt>
                <c:pt idx="1235">
                  <c:v>2374.9</c:v>
                </c:pt>
                <c:pt idx="1236">
                  <c:v>2383.3000000000002</c:v>
                </c:pt>
                <c:pt idx="1237">
                  <c:v>2338.1</c:v>
                </c:pt>
                <c:pt idx="1238">
                  <c:v>2320.6</c:v>
                </c:pt>
                <c:pt idx="1239">
                  <c:v>2261.3000000000002</c:v>
                </c:pt>
              </c:numCache>
            </c:numRef>
          </c:val>
        </c:ser>
        <c:marker val="1"/>
        <c:axId val="111074304"/>
        <c:axId val="111080192"/>
      </c:lineChart>
      <c:dateAx>
        <c:axId val="111074304"/>
        <c:scaling>
          <c:orientation val="minMax"/>
        </c:scaling>
        <c:axPos val="b"/>
        <c:numFmt formatCode="yyyy" sourceLinked="0"/>
        <c:majorTickMark val="none"/>
        <c:tickLblPos val="nextTo"/>
        <c:txPr>
          <a:bodyPr/>
          <a:lstStyle/>
          <a:p>
            <a:pPr>
              <a:defRPr sz="910" baseline="0"/>
            </a:pPr>
            <a:endParaRPr lang="en-US"/>
          </a:p>
        </c:txPr>
        <c:crossAx val="111080192"/>
        <c:crosses val="autoZero"/>
        <c:auto val="1"/>
        <c:lblOffset val="100"/>
      </c:dateAx>
      <c:valAx>
        <c:axId val="111080192"/>
        <c:scaling>
          <c:orientation val="minMax"/>
          <c:min val="1500"/>
        </c:scaling>
        <c:axPos val="l"/>
        <c:numFmt formatCode="#,##0.00" sourceLinked="1"/>
        <c:maj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111074304"/>
        <c:crosses val="autoZero"/>
        <c:crossBetween val="midCat"/>
      </c:valAx>
    </c:plotArea>
    <c:plotVisOnly val="1"/>
  </c:chart>
  <c:spPr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chart>
    <c:autoTitleDeleted val="1"/>
    <c:plotArea>
      <c:layout/>
      <c:areaChart>
        <c:grouping val="standard"/>
        <c:ser>
          <c:idx val="0"/>
          <c:order val="0"/>
          <c:tx>
            <c:strRef>
              <c:f>'Raw Data'!$C$2</c:f>
              <c:strCache>
                <c:ptCount val="1"/>
                <c:pt idx="0">
                  <c:v>VOL</c:v>
                </c:pt>
              </c:strCache>
            </c:strRef>
          </c:tx>
          <c:cat>
            <c:numRef>
              <c:f>'Raw Data'!$B$3:$B$1242</c:f>
              <c:numCache>
                <c:formatCode>dd/mm/yyyy</c:formatCode>
                <c:ptCount val="1240"/>
                <c:pt idx="0">
                  <c:v>44259</c:v>
                </c:pt>
                <c:pt idx="1">
                  <c:v>44260</c:v>
                </c:pt>
                <c:pt idx="2">
                  <c:v>44263</c:v>
                </c:pt>
                <c:pt idx="3">
                  <c:v>44264</c:v>
                </c:pt>
                <c:pt idx="4">
                  <c:v>44265</c:v>
                </c:pt>
                <c:pt idx="5">
                  <c:v>44267</c:v>
                </c:pt>
                <c:pt idx="6">
                  <c:v>44270</c:v>
                </c:pt>
                <c:pt idx="7">
                  <c:v>44271</c:v>
                </c:pt>
                <c:pt idx="8">
                  <c:v>44272</c:v>
                </c:pt>
                <c:pt idx="9">
                  <c:v>44273</c:v>
                </c:pt>
                <c:pt idx="10">
                  <c:v>44274</c:v>
                </c:pt>
                <c:pt idx="11">
                  <c:v>44277</c:v>
                </c:pt>
                <c:pt idx="12">
                  <c:v>44278</c:v>
                </c:pt>
                <c:pt idx="13">
                  <c:v>44279</c:v>
                </c:pt>
                <c:pt idx="14">
                  <c:v>44280</c:v>
                </c:pt>
                <c:pt idx="15">
                  <c:v>44281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44291</c:v>
                </c:pt>
                <c:pt idx="20">
                  <c:v>44292</c:v>
                </c:pt>
                <c:pt idx="21">
                  <c:v>44293</c:v>
                </c:pt>
                <c:pt idx="22">
                  <c:v>44294</c:v>
                </c:pt>
                <c:pt idx="23">
                  <c:v>44295</c:v>
                </c:pt>
                <c:pt idx="24">
                  <c:v>44298</c:v>
                </c:pt>
                <c:pt idx="25">
                  <c:v>44299</c:v>
                </c:pt>
                <c:pt idx="26">
                  <c:v>44301</c:v>
                </c:pt>
                <c:pt idx="27">
                  <c:v>44302</c:v>
                </c:pt>
                <c:pt idx="28">
                  <c:v>44305</c:v>
                </c:pt>
                <c:pt idx="29">
                  <c:v>44306</c:v>
                </c:pt>
                <c:pt idx="30">
                  <c:v>44308</c:v>
                </c:pt>
                <c:pt idx="31">
                  <c:v>44309</c:v>
                </c:pt>
                <c:pt idx="32">
                  <c:v>44312</c:v>
                </c:pt>
                <c:pt idx="33">
                  <c:v>44313</c:v>
                </c:pt>
                <c:pt idx="34">
                  <c:v>44314</c:v>
                </c:pt>
                <c:pt idx="35">
                  <c:v>44315</c:v>
                </c:pt>
                <c:pt idx="36">
                  <c:v>44316</c:v>
                </c:pt>
                <c:pt idx="37">
                  <c:v>44319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44330</c:v>
                </c:pt>
                <c:pt idx="46">
                  <c:v>44333</c:v>
                </c:pt>
                <c:pt idx="47">
                  <c:v>44334</c:v>
                </c:pt>
                <c:pt idx="48">
                  <c:v>44335</c:v>
                </c:pt>
                <c:pt idx="49">
                  <c:v>44336</c:v>
                </c:pt>
                <c:pt idx="50">
                  <c:v>44337</c:v>
                </c:pt>
                <c:pt idx="51">
                  <c:v>44340</c:v>
                </c:pt>
                <c:pt idx="52">
                  <c:v>44341</c:v>
                </c:pt>
                <c:pt idx="53">
                  <c:v>44342</c:v>
                </c:pt>
                <c:pt idx="54">
                  <c:v>44343</c:v>
                </c:pt>
                <c:pt idx="55">
                  <c:v>44344</c:v>
                </c:pt>
                <c:pt idx="56">
                  <c:v>44347</c:v>
                </c:pt>
                <c:pt idx="57">
                  <c:v>44348</c:v>
                </c:pt>
                <c:pt idx="58">
                  <c:v>44349</c:v>
                </c:pt>
                <c:pt idx="59">
                  <c:v>44350</c:v>
                </c:pt>
                <c:pt idx="60">
                  <c:v>44351</c:v>
                </c:pt>
                <c:pt idx="61">
                  <c:v>44354</c:v>
                </c:pt>
                <c:pt idx="62">
                  <c:v>44355</c:v>
                </c:pt>
                <c:pt idx="63">
                  <c:v>44356</c:v>
                </c:pt>
                <c:pt idx="64">
                  <c:v>44357</c:v>
                </c:pt>
                <c:pt idx="65">
                  <c:v>44358</c:v>
                </c:pt>
                <c:pt idx="66">
                  <c:v>44361</c:v>
                </c:pt>
                <c:pt idx="67">
                  <c:v>44362</c:v>
                </c:pt>
                <c:pt idx="68">
                  <c:v>44363</c:v>
                </c:pt>
                <c:pt idx="69">
                  <c:v>44364</c:v>
                </c:pt>
                <c:pt idx="70">
                  <c:v>44365</c:v>
                </c:pt>
                <c:pt idx="71">
                  <c:v>44368</c:v>
                </c:pt>
                <c:pt idx="72">
                  <c:v>44369</c:v>
                </c:pt>
                <c:pt idx="73">
                  <c:v>44370</c:v>
                </c:pt>
                <c:pt idx="74">
                  <c:v>44371</c:v>
                </c:pt>
                <c:pt idx="75">
                  <c:v>44372</c:v>
                </c:pt>
                <c:pt idx="76">
                  <c:v>44375</c:v>
                </c:pt>
                <c:pt idx="77">
                  <c:v>44376</c:v>
                </c:pt>
                <c:pt idx="78">
                  <c:v>44377</c:v>
                </c:pt>
                <c:pt idx="79">
                  <c:v>44378</c:v>
                </c:pt>
                <c:pt idx="80">
                  <c:v>44379</c:v>
                </c:pt>
                <c:pt idx="81">
                  <c:v>44382</c:v>
                </c:pt>
                <c:pt idx="82">
                  <c:v>44383</c:v>
                </c:pt>
                <c:pt idx="83">
                  <c:v>44384</c:v>
                </c:pt>
                <c:pt idx="84">
                  <c:v>44385</c:v>
                </c:pt>
                <c:pt idx="85">
                  <c:v>44386</c:v>
                </c:pt>
                <c:pt idx="86">
                  <c:v>44389</c:v>
                </c:pt>
                <c:pt idx="87">
                  <c:v>44390</c:v>
                </c:pt>
                <c:pt idx="88">
                  <c:v>44391</c:v>
                </c:pt>
                <c:pt idx="89">
                  <c:v>44392</c:v>
                </c:pt>
                <c:pt idx="90">
                  <c:v>44393</c:v>
                </c:pt>
                <c:pt idx="91">
                  <c:v>44396</c:v>
                </c:pt>
                <c:pt idx="92">
                  <c:v>44397</c:v>
                </c:pt>
                <c:pt idx="93">
                  <c:v>44399</c:v>
                </c:pt>
                <c:pt idx="94">
                  <c:v>44400</c:v>
                </c:pt>
                <c:pt idx="95">
                  <c:v>44403</c:v>
                </c:pt>
                <c:pt idx="96">
                  <c:v>44404</c:v>
                </c:pt>
                <c:pt idx="97">
                  <c:v>44405</c:v>
                </c:pt>
                <c:pt idx="98">
                  <c:v>44406</c:v>
                </c:pt>
                <c:pt idx="99">
                  <c:v>44407</c:v>
                </c:pt>
                <c:pt idx="100">
                  <c:v>44410</c:v>
                </c:pt>
                <c:pt idx="101">
                  <c:v>44411</c:v>
                </c:pt>
                <c:pt idx="102">
                  <c:v>44412</c:v>
                </c:pt>
                <c:pt idx="103">
                  <c:v>44413</c:v>
                </c:pt>
                <c:pt idx="104">
                  <c:v>44414</c:v>
                </c:pt>
                <c:pt idx="105">
                  <c:v>44417</c:v>
                </c:pt>
                <c:pt idx="106">
                  <c:v>44418</c:v>
                </c:pt>
                <c:pt idx="107">
                  <c:v>44419</c:v>
                </c:pt>
                <c:pt idx="108">
                  <c:v>44420</c:v>
                </c:pt>
                <c:pt idx="109">
                  <c:v>44421</c:v>
                </c:pt>
                <c:pt idx="110">
                  <c:v>44424</c:v>
                </c:pt>
                <c:pt idx="111">
                  <c:v>44425</c:v>
                </c:pt>
                <c:pt idx="112">
                  <c:v>44426</c:v>
                </c:pt>
                <c:pt idx="113">
                  <c:v>44428</c:v>
                </c:pt>
                <c:pt idx="114">
                  <c:v>44431</c:v>
                </c:pt>
                <c:pt idx="115">
                  <c:v>44432</c:v>
                </c:pt>
                <c:pt idx="116">
                  <c:v>44433</c:v>
                </c:pt>
                <c:pt idx="117">
                  <c:v>44434</c:v>
                </c:pt>
                <c:pt idx="118">
                  <c:v>44435</c:v>
                </c:pt>
                <c:pt idx="119">
                  <c:v>44438</c:v>
                </c:pt>
                <c:pt idx="120">
                  <c:v>44439</c:v>
                </c:pt>
                <c:pt idx="121">
                  <c:v>44440</c:v>
                </c:pt>
                <c:pt idx="122">
                  <c:v>44441</c:v>
                </c:pt>
                <c:pt idx="123">
                  <c:v>44442</c:v>
                </c:pt>
                <c:pt idx="124">
                  <c:v>44445</c:v>
                </c:pt>
                <c:pt idx="125">
                  <c:v>44446</c:v>
                </c:pt>
                <c:pt idx="126">
                  <c:v>44447</c:v>
                </c:pt>
                <c:pt idx="127">
                  <c:v>44448</c:v>
                </c:pt>
                <c:pt idx="128">
                  <c:v>44452</c:v>
                </c:pt>
                <c:pt idx="129">
                  <c:v>44453</c:v>
                </c:pt>
                <c:pt idx="130">
                  <c:v>44454</c:v>
                </c:pt>
                <c:pt idx="131">
                  <c:v>44455</c:v>
                </c:pt>
                <c:pt idx="132">
                  <c:v>44456</c:v>
                </c:pt>
                <c:pt idx="133">
                  <c:v>44459</c:v>
                </c:pt>
                <c:pt idx="134">
                  <c:v>44460</c:v>
                </c:pt>
                <c:pt idx="135">
                  <c:v>44461</c:v>
                </c:pt>
                <c:pt idx="136">
                  <c:v>44462</c:v>
                </c:pt>
                <c:pt idx="137">
                  <c:v>44463</c:v>
                </c:pt>
                <c:pt idx="138">
                  <c:v>44466</c:v>
                </c:pt>
                <c:pt idx="139">
                  <c:v>44467</c:v>
                </c:pt>
                <c:pt idx="140">
                  <c:v>44468</c:v>
                </c:pt>
                <c:pt idx="141">
                  <c:v>44469</c:v>
                </c:pt>
                <c:pt idx="142">
                  <c:v>44470</c:v>
                </c:pt>
                <c:pt idx="143">
                  <c:v>44473</c:v>
                </c:pt>
                <c:pt idx="144">
                  <c:v>44474</c:v>
                </c:pt>
                <c:pt idx="145">
                  <c:v>44475</c:v>
                </c:pt>
                <c:pt idx="146">
                  <c:v>44476</c:v>
                </c:pt>
                <c:pt idx="147">
                  <c:v>44477</c:v>
                </c:pt>
                <c:pt idx="148">
                  <c:v>44480</c:v>
                </c:pt>
                <c:pt idx="149">
                  <c:v>44481</c:v>
                </c:pt>
                <c:pt idx="150">
                  <c:v>44482</c:v>
                </c:pt>
                <c:pt idx="151">
                  <c:v>44483</c:v>
                </c:pt>
                <c:pt idx="152">
                  <c:v>44487</c:v>
                </c:pt>
                <c:pt idx="153">
                  <c:v>44488</c:v>
                </c:pt>
                <c:pt idx="154">
                  <c:v>44489</c:v>
                </c:pt>
                <c:pt idx="155">
                  <c:v>44490</c:v>
                </c:pt>
                <c:pt idx="156">
                  <c:v>44491</c:v>
                </c:pt>
                <c:pt idx="157">
                  <c:v>44494</c:v>
                </c:pt>
                <c:pt idx="158">
                  <c:v>44495</c:v>
                </c:pt>
                <c:pt idx="159">
                  <c:v>44496</c:v>
                </c:pt>
                <c:pt idx="160">
                  <c:v>44497</c:v>
                </c:pt>
                <c:pt idx="161">
                  <c:v>44498</c:v>
                </c:pt>
                <c:pt idx="162">
                  <c:v>44501</c:v>
                </c:pt>
                <c:pt idx="163">
                  <c:v>44502</c:v>
                </c:pt>
                <c:pt idx="164">
                  <c:v>44503</c:v>
                </c:pt>
                <c:pt idx="165">
                  <c:v>44504</c:v>
                </c:pt>
                <c:pt idx="166">
                  <c:v>44508</c:v>
                </c:pt>
                <c:pt idx="167">
                  <c:v>44509</c:v>
                </c:pt>
                <c:pt idx="168">
                  <c:v>44510</c:v>
                </c:pt>
                <c:pt idx="169">
                  <c:v>44511</c:v>
                </c:pt>
                <c:pt idx="170">
                  <c:v>44512</c:v>
                </c:pt>
                <c:pt idx="171">
                  <c:v>44515</c:v>
                </c:pt>
                <c:pt idx="172">
                  <c:v>44516</c:v>
                </c:pt>
                <c:pt idx="173">
                  <c:v>44517</c:v>
                </c:pt>
                <c:pt idx="174">
                  <c:v>44518</c:v>
                </c:pt>
                <c:pt idx="175">
                  <c:v>44522</c:v>
                </c:pt>
                <c:pt idx="176">
                  <c:v>44523</c:v>
                </c:pt>
                <c:pt idx="177">
                  <c:v>44524</c:v>
                </c:pt>
                <c:pt idx="178">
                  <c:v>44525</c:v>
                </c:pt>
                <c:pt idx="179">
                  <c:v>44526</c:v>
                </c:pt>
                <c:pt idx="180">
                  <c:v>44529</c:v>
                </c:pt>
                <c:pt idx="181">
                  <c:v>44530</c:v>
                </c:pt>
                <c:pt idx="182">
                  <c:v>44531</c:v>
                </c:pt>
                <c:pt idx="183">
                  <c:v>44532</c:v>
                </c:pt>
                <c:pt idx="184">
                  <c:v>44533</c:v>
                </c:pt>
                <c:pt idx="185">
                  <c:v>44536</c:v>
                </c:pt>
                <c:pt idx="186">
                  <c:v>44537</c:v>
                </c:pt>
                <c:pt idx="187">
                  <c:v>44538</c:v>
                </c:pt>
                <c:pt idx="188">
                  <c:v>44539</c:v>
                </c:pt>
                <c:pt idx="189">
                  <c:v>44540</c:v>
                </c:pt>
                <c:pt idx="190">
                  <c:v>44543</c:v>
                </c:pt>
                <c:pt idx="191">
                  <c:v>44544</c:v>
                </c:pt>
                <c:pt idx="192">
                  <c:v>44545</c:v>
                </c:pt>
                <c:pt idx="193">
                  <c:v>44546</c:v>
                </c:pt>
                <c:pt idx="194">
                  <c:v>44547</c:v>
                </c:pt>
                <c:pt idx="195">
                  <c:v>44550</c:v>
                </c:pt>
                <c:pt idx="196">
                  <c:v>44551</c:v>
                </c:pt>
                <c:pt idx="197">
                  <c:v>44552</c:v>
                </c:pt>
                <c:pt idx="198">
                  <c:v>44553</c:v>
                </c:pt>
                <c:pt idx="199">
                  <c:v>44554</c:v>
                </c:pt>
                <c:pt idx="200">
                  <c:v>44557</c:v>
                </c:pt>
                <c:pt idx="201">
                  <c:v>44558</c:v>
                </c:pt>
                <c:pt idx="202">
                  <c:v>44559</c:v>
                </c:pt>
                <c:pt idx="203">
                  <c:v>44560</c:v>
                </c:pt>
                <c:pt idx="204">
                  <c:v>44561</c:v>
                </c:pt>
                <c:pt idx="205">
                  <c:v>44564</c:v>
                </c:pt>
                <c:pt idx="206">
                  <c:v>44565</c:v>
                </c:pt>
                <c:pt idx="207">
                  <c:v>44566</c:v>
                </c:pt>
                <c:pt idx="208">
                  <c:v>44567</c:v>
                </c:pt>
                <c:pt idx="209">
                  <c:v>44568</c:v>
                </c:pt>
                <c:pt idx="210">
                  <c:v>44571</c:v>
                </c:pt>
                <c:pt idx="211">
                  <c:v>44572</c:v>
                </c:pt>
                <c:pt idx="212">
                  <c:v>44573</c:v>
                </c:pt>
                <c:pt idx="213">
                  <c:v>44574</c:v>
                </c:pt>
                <c:pt idx="214">
                  <c:v>44575</c:v>
                </c:pt>
                <c:pt idx="215">
                  <c:v>44578</c:v>
                </c:pt>
                <c:pt idx="216">
                  <c:v>44579</c:v>
                </c:pt>
                <c:pt idx="217">
                  <c:v>44580</c:v>
                </c:pt>
                <c:pt idx="218">
                  <c:v>44581</c:v>
                </c:pt>
                <c:pt idx="219">
                  <c:v>44582</c:v>
                </c:pt>
                <c:pt idx="220">
                  <c:v>44585</c:v>
                </c:pt>
                <c:pt idx="221">
                  <c:v>44586</c:v>
                </c:pt>
                <c:pt idx="222">
                  <c:v>44588</c:v>
                </c:pt>
                <c:pt idx="223">
                  <c:v>44589</c:v>
                </c:pt>
                <c:pt idx="224">
                  <c:v>44592</c:v>
                </c:pt>
                <c:pt idx="225">
                  <c:v>44593</c:v>
                </c:pt>
                <c:pt idx="226">
                  <c:v>44594</c:v>
                </c:pt>
                <c:pt idx="227">
                  <c:v>44595</c:v>
                </c:pt>
                <c:pt idx="228">
                  <c:v>44596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44622</c:v>
                </c:pt>
                <c:pt idx="246">
                  <c:v>44623</c:v>
                </c:pt>
                <c:pt idx="247">
                  <c:v>44624</c:v>
                </c:pt>
                <c:pt idx="248">
                  <c:v>44627</c:v>
                </c:pt>
                <c:pt idx="249">
                  <c:v>44628</c:v>
                </c:pt>
                <c:pt idx="250">
                  <c:v>44629</c:v>
                </c:pt>
                <c:pt idx="251">
                  <c:v>44630</c:v>
                </c:pt>
                <c:pt idx="252">
                  <c:v>44631</c:v>
                </c:pt>
                <c:pt idx="253">
                  <c:v>44634</c:v>
                </c:pt>
                <c:pt idx="254">
                  <c:v>44635</c:v>
                </c:pt>
                <c:pt idx="255">
                  <c:v>44636</c:v>
                </c:pt>
                <c:pt idx="256">
                  <c:v>44637</c:v>
                </c:pt>
                <c:pt idx="257">
                  <c:v>44641</c:v>
                </c:pt>
                <c:pt idx="258">
                  <c:v>44642</c:v>
                </c:pt>
                <c:pt idx="259">
                  <c:v>44643</c:v>
                </c:pt>
                <c:pt idx="260">
                  <c:v>44644</c:v>
                </c:pt>
                <c:pt idx="261">
                  <c:v>44645</c:v>
                </c:pt>
                <c:pt idx="262">
                  <c:v>44648</c:v>
                </c:pt>
                <c:pt idx="263">
                  <c:v>44649</c:v>
                </c:pt>
                <c:pt idx="264">
                  <c:v>44650</c:v>
                </c:pt>
                <c:pt idx="265">
                  <c:v>44651</c:v>
                </c:pt>
                <c:pt idx="266">
                  <c:v>44652</c:v>
                </c:pt>
                <c:pt idx="267">
                  <c:v>44655</c:v>
                </c:pt>
                <c:pt idx="268">
                  <c:v>44656</c:v>
                </c:pt>
                <c:pt idx="269">
                  <c:v>44657</c:v>
                </c:pt>
                <c:pt idx="270">
                  <c:v>44658</c:v>
                </c:pt>
                <c:pt idx="271">
                  <c:v>44659</c:v>
                </c:pt>
                <c:pt idx="272">
                  <c:v>44662</c:v>
                </c:pt>
                <c:pt idx="273">
                  <c:v>44663</c:v>
                </c:pt>
                <c:pt idx="274">
                  <c:v>44664</c:v>
                </c:pt>
                <c:pt idx="275">
                  <c:v>44669</c:v>
                </c:pt>
                <c:pt idx="276">
                  <c:v>44670</c:v>
                </c:pt>
                <c:pt idx="277">
                  <c:v>44671</c:v>
                </c:pt>
                <c:pt idx="278">
                  <c:v>44672</c:v>
                </c:pt>
                <c:pt idx="279">
                  <c:v>44673</c:v>
                </c:pt>
                <c:pt idx="280">
                  <c:v>44676</c:v>
                </c:pt>
                <c:pt idx="281">
                  <c:v>44677</c:v>
                </c:pt>
                <c:pt idx="282">
                  <c:v>44678</c:v>
                </c:pt>
                <c:pt idx="283">
                  <c:v>44679</c:v>
                </c:pt>
                <c:pt idx="284">
                  <c:v>44680</c:v>
                </c:pt>
                <c:pt idx="285">
                  <c:v>44683</c:v>
                </c:pt>
                <c:pt idx="286">
                  <c:v>44685</c:v>
                </c:pt>
                <c:pt idx="287">
                  <c:v>44686</c:v>
                </c:pt>
                <c:pt idx="288">
                  <c:v>44687</c:v>
                </c:pt>
                <c:pt idx="289">
                  <c:v>44690</c:v>
                </c:pt>
                <c:pt idx="290">
                  <c:v>44691</c:v>
                </c:pt>
                <c:pt idx="291">
                  <c:v>44692</c:v>
                </c:pt>
                <c:pt idx="292">
                  <c:v>44693</c:v>
                </c:pt>
                <c:pt idx="293">
                  <c:v>44694</c:v>
                </c:pt>
                <c:pt idx="294">
                  <c:v>44697</c:v>
                </c:pt>
                <c:pt idx="295">
                  <c:v>44698</c:v>
                </c:pt>
                <c:pt idx="296">
                  <c:v>44699</c:v>
                </c:pt>
                <c:pt idx="297">
                  <c:v>44700</c:v>
                </c:pt>
                <c:pt idx="298">
                  <c:v>44701</c:v>
                </c:pt>
                <c:pt idx="299">
                  <c:v>44704</c:v>
                </c:pt>
                <c:pt idx="300">
                  <c:v>44705</c:v>
                </c:pt>
                <c:pt idx="301">
                  <c:v>44706</c:v>
                </c:pt>
                <c:pt idx="302">
                  <c:v>44707</c:v>
                </c:pt>
                <c:pt idx="303">
                  <c:v>44708</c:v>
                </c:pt>
                <c:pt idx="304">
                  <c:v>44711</c:v>
                </c:pt>
                <c:pt idx="305">
                  <c:v>44712</c:v>
                </c:pt>
                <c:pt idx="306">
                  <c:v>44713</c:v>
                </c:pt>
                <c:pt idx="307">
                  <c:v>44714</c:v>
                </c:pt>
                <c:pt idx="308">
                  <c:v>44715</c:v>
                </c:pt>
                <c:pt idx="309">
                  <c:v>44718</c:v>
                </c:pt>
                <c:pt idx="310">
                  <c:v>44719</c:v>
                </c:pt>
                <c:pt idx="311">
                  <c:v>44720</c:v>
                </c:pt>
                <c:pt idx="312">
                  <c:v>44721</c:v>
                </c:pt>
                <c:pt idx="313">
                  <c:v>44722</c:v>
                </c:pt>
                <c:pt idx="314">
                  <c:v>44725</c:v>
                </c:pt>
                <c:pt idx="315">
                  <c:v>44726</c:v>
                </c:pt>
                <c:pt idx="316">
                  <c:v>44727</c:v>
                </c:pt>
                <c:pt idx="317">
                  <c:v>44728</c:v>
                </c:pt>
                <c:pt idx="318">
                  <c:v>44729</c:v>
                </c:pt>
                <c:pt idx="319">
                  <c:v>44732</c:v>
                </c:pt>
                <c:pt idx="320">
                  <c:v>44733</c:v>
                </c:pt>
                <c:pt idx="321">
                  <c:v>44734</c:v>
                </c:pt>
                <c:pt idx="322">
                  <c:v>44735</c:v>
                </c:pt>
                <c:pt idx="323">
                  <c:v>44736</c:v>
                </c:pt>
                <c:pt idx="324">
                  <c:v>44739</c:v>
                </c:pt>
                <c:pt idx="325">
                  <c:v>44740</c:v>
                </c:pt>
                <c:pt idx="326">
                  <c:v>44741</c:v>
                </c:pt>
                <c:pt idx="327">
                  <c:v>44742</c:v>
                </c:pt>
                <c:pt idx="328">
                  <c:v>44743</c:v>
                </c:pt>
                <c:pt idx="329">
                  <c:v>44746</c:v>
                </c:pt>
                <c:pt idx="330">
                  <c:v>44747</c:v>
                </c:pt>
                <c:pt idx="331">
                  <c:v>44748</c:v>
                </c:pt>
                <c:pt idx="332">
                  <c:v>44749</c:v>
                </c:pt>
                <c:pt idx="333">
                  <c:v>44750</c:v>
                </c:pt>
                <c:pt idx="334">
                  <c:v>44753</c:v>
                </c:pt>
                <c:pt idx="335">
                  <c:v>44754</c:v>
                </c:pt>
                <c:pt idx="336">
                  <c:v>44755</c:v>
                </c:pt>
                <c:pt idx="337">
                  <c:v>44756</c:v>
                </c:pt>
                <c:pt idx="338">
                  <c:v>44757</c:v>
                </c:pt>
                <c:pt idx="339">
                  <c:v>44760</c:v>
                </c:pt>
                <c:pt idx="340">
                  <c:v>44761</c:v>
                </c:pt>
                <c:pt idx="341">
                  <c:v>44762</c:v>
                </c:pt>
                <c:pt idx="342">
                  <c:v>44763</c:v>
                </c:pt>
                <c:pt idx="343">
                  <c:v>44764</c:v>
                </c:pt>
                <c:pt idx="344">
                  <c:v>44767</c:v>
                </c:pt>
                <c:pt idx="345">
                  <c:v>44768</c:v>
                </c:pt>
                <c:pt idx="346">
                  <c:v>44769</c:v>
                </c:pt>
                <c:pt idx="347">
                  <c:v>44770</c:v>
                </c:pt>
                <c:pt idx="348">
                  <c:v>44771</c:v>
                </c:pt>
                <c:pt idx="349">
                  <c:v>44774</c:v>
                </c:pt>
                <c:pt idx="350">
                  <c:v>44775</c:v>
                </c:pt>
                <c:pt idx="351">
                  <c:v>44776</c:v>
                </c:pt>
                <c:pt idx="352">
                  <c:v>44777</c:v>
                </c:pt>
                <c:pt idx="353">
                  <c:v>44778</c:v>
                </c:pt>
                <c:pt idx="354">
                  <c:v>44781</c:v>
                </c:pt>
                <c:pt idx="355">
                  <c:v>44783</c:v>
                </c:pt>
                <c:pt idx="356">
                  <c:v>44784</c:v>
                </c:pt>
                <c:pt idx="357">
                  <c:v>44785</c:v>
                </c:pt>
                <c:pt idx="358">
                  <c:v>44789</c:v>
                </c:pt>
                <c:pt idx="359">
                  <c:v>44790</c:v>
                </c:pt>
                <c:pt idx="360">
                  <c:v>44791</c:v>
                </c:pt>
                <c:pt idx="361">
                  <c:v>44792</c:v>
                </c:pt>
                <c:pt idx="362">
                  <c:v>44795</c:v>
                </c:pt>
                <c:pt idx="363">
                  <c:v>44796</c:v>
                </c:pt>
                <c:pt idx="364">
                  <c:v>44797</c:v>
                </c:pt>
                <c:pt idx="365">
                  <c:v>44798</c:v>
                </c:pt>
                <c:pt idx="366">
                  <c:v>44799</c:v>
                </c:pt>
                <c:pt idx="367">
                  <c:v>44802</c:v>
                </c:pt>
                <c:pt idx="368">
                  <c:v>44803</c:v>
                </c:pt>
                <c:pt idx="369">
                  <c:v>44805</c:v>
                </c:pt>
                <c:pt idx="370">
                  <c:v>44806</c:v>
                </c:pt>
                <c:pt idx="371">
                  <c:v>44809</c:v>
                </c:pt>
                <c:pt idx="372">
                  <c:v>44810</c:v>
                </c:pt>
                <c:pt idx="373">
                  <c:v>44811</c:v>
                </c:pt>
                <c:pt idx="374">
                  <c:v>44812</c:v>
                </c:pt>
                <c:pt idx="375">
                  <c:v>44813</c:v>
                </c:pt>
                <c:pt idx="376">
                  <c:v>44816</c:v>
                </c:pt>
                <c:pt idx="377">
                  <c:v>44817</c:v>
                </c:pt>
                <c:pt idx="378">
                  <c:v>44818</c:v>
                </c:pt>
                <c:pt idx="379">
                  <c:v>44819</c:v>
                </c:pt>
                <c:pt idx="380">
                  <c:v>44820</c:v>
                </c:pt>
                <c:pt idx="381">
                  <c:v>44823</c:v>
                </c:pt>
                <c:pt idx="382">
                  <c:v>44824</c:v>
                </c:pt>
                <c:pt idx="383">
                  <c:v>44825</c:v>
                </c:pt>
                <c:pt idx="384">
                  <c:v>44826</c:v>
                </c:pt>
                <c:pt idx="385">
                  <c:v>44827</c:v>
                </c:pt>
                <c:pt idx="386">
                  <c:v>44830</c:v>
                </c:pt>
                <c:pt idx="387">
                  <c:v>44831</c:v>
                </c:pt>
                <c:pt idx="388">
                  <c:v>44832</c:v>
                </c:pt>
                <c:pt idx="389">
                  <c:v>44833</c:v>
                </c:pt>
                <c:pt idx="390">
                  <c:v>44834</c:v>
                </c:pt>
                <c:pt idx="391">
                  <c:v>44837</c:v>
                </c:pt>
                <c:pt idx="392">
                  <c:v>44838</c:v>
                </c:pt>
                <c:pt idx="393">
                  <c:v>44840</c:v>
                </c:pt>
                <c:pt idx="394">
                  <c:v>44841</c:v>
                </c:pt>
                <c:pt idx="395">
                  <c:v>44844</c:v>
                </c:pt>
                <c:pt idx="396">
                  <c:v>44845</c:v>
                </c:pt>
                <c:pt idx="397">
                  <c:v>44846</c:v>
                </c:pt>
                <c:pt idx="398">
                  <c:v>44847</c:v>
                </c:pt>
                <c:pt idx="399">
                  <c:v>44848</c:v>
                </c:pt>
                <c:pt idx="400">
                  <c:v>44851</c:v>
                </c:pt>
                <c:pt idx="401">
                  <c:v>44852</c:v>
                </c:pt>
                <c:pt idx="402">
                  <c:v>44853</c:v>
                </c:pt>
                <c:pt idx="403">
                  <c:v>44854</c:v>
                </c:pt>
                <c:pt idx="404">
                  <c:v>44855</c:v>
                </c:pt>
                <c:pt idx="405">
                  <c:v>44858</c:v>
                </c:pt>
                <c:pt idx="406">
                  <c:v>44859</c:v>
                </c:pt>
                <c:pt idx="407">
                  <c:v>44861</c:v>
                </c:pt>
                <c:pt idx="408">
                  <c:v>44862</c:v>
                </c:pt>
                <c:pt idx="409">
                  <c:v>44865</c:v>
                </c:pt>
                <c:pt idx="410">
                  <c:v>44866</c:v>
                </c:pt>
                <c:pt idx="411">
                  <c:v>44867</c:v>
                </c:pt>
                <c:pt idx="412">
                  <c:v>44868</c:v>
                </c:pt>
                <c:pt idx="413">
                  <c:v>44869</c:v>
                </c:pt>
                <c:pt idx="414">
                  <c:v>44872</c:v>
                </c:pt>
                <c:pt idx="415">
                  <c:v>44874</c:v>
                </c:pt>
                <c:pt idx="416">
                  <c:v>44875</c:v>
                </c:pt>
                <c:pt idx="417">
                  <c:v>44876</c:v>
                </c:pt>
                <c:pt idx="418">
                  <c:v>44879</c:v>
                </c:pt>
                <c:pt idx="419">
                  <c:v>44880</c:v>
                </c:pt>
                <c:pt idx="420">
                  <c:v>44881</c:v>
                </c:pt>
                <c:pt idx="421">
                  <c:v>44882</c:v>
                </c:pt>
                <c:pt idx="422">
                  <c:v>44883</c:v>
                </c:pt>
                <c:pt idx="423">
                  <c:v>44886</c:v>
                </c:pt>
                <c:pt idx="424">
                  <c:v>44887</c:v>
                </c:pt>
                <c:pt idx="425">
                  <c:v>44888</c:v>
                </c:pt>
                <c:pt idx="426">
                  <c:v>44889</c:v>
                </c:pt>
                <c:pt idx="427">
                  <c:v>44890</c:v>
                </c:pt>
                <c:pt idx="428">
                  <c:v>44893</c:v>
                </c:pt>
                <c:pt idx="429">
                  <c:v>44894</c:v>
                </c:pt>
                <c:pt idx="430">
                  <c:v>44895</c:v>
                </c:pt>
                <c:pt idx="431">
                  <c:v>44896</c:v>
                </c:pt>
                <c:pt idx="432">
                  <c:v>44897</c:v>
                </c:pt>
                <c:pt idx="433">
                  <c:v>44900</c:v>
                </c:pt>
                <c:pt idx="434">
                  <c:v>44901</c:v>
                </c:pt>
                <c:pt idx="435">
                  <c:v>44902</c:v>
                </c:pt>
                <c:pt idx="436">
                  <c:v>44903</c:v>
                </c:pt>
                <c:pt idx="437">
                  <c:v>44904</c:v>
                </c:pt>
                <c:pt idx="438">
                  <c:v>44907</c:v>
                </c:pt>
                <c:pt idx="439">
                  <c:v>44908</c:v>
                </c:pt>
                <c:pt idx="440">
                  <c:v>44909</c:v>
                </c:pt>
                <c:pt idx="441">
                  <c:v>44910</c:v>
                </c:pt>
                <c:pt idx="442">
                  <c:v>44911</c:v>
                </c:pt>
                <c:pt idx="443">
                  <c:v>44914</c:v>
                </c:pt>
                <c:pt idx="444">
                  <c:v>44915</c:v>
                </c:pt>
                <c:pt idx="445">
                  <c:v>44916</c:v>
                </c:pt>
                <c:pt idx="446">
                  <c:v>44917</c:v>
                </c:pt>
                <c:pt idx="447">
                  <c:v>44918</c:v>
                </c:pt>
                <c:pt idx="448">
                  <c:v>44921</c:v>
                </c:pt>
                <c:pt idx="449">
                  <c:v>44922</c:v>
                </c:pt>
                <c:pt idx="450">
                  <c:v>44923</c:v>
                </c:pt>
                <c:pt idx="451">
                  <c:v>44924</c:v>
                </c:pt>
                <c:pt idx="452">
                  <c:v>44925</c:v>
                </c:pt>
                <c:pt idx="453">
                  <c:v>44928</c:v>
                </c:pt>
                <c:pt idx="454">
                  <c:v>44929</c:v>
                </c:pt>
                <c:pt idx="455">
                  <c:v>44930</c:v>
                </c:pt>
                <c:pt idx="456">
                  <c:v>44931</c:v>
                </c:pt>
                <c:pt idx="457">
                  <c:v>44932</c:v>
                </c:pt>
                <c:pt idx="458">
                  <c:v>44935</c:v>
                </c:pt>
                <c:pt idx="459">
                  <c:v>44936</c:v>
                </c:pt>
                <c:pt idx="460">
                  <c:v>44937</c:v>
                </c:pt>
                <c:pt idx="461">
                  <c:v>44938</c:v>
                </c:pt>
                <c:pt idx="462">
                  <c:v>44939</c:v>
                </c:pt>
                <c:pt idx="463">
                  <c:v>44942</c:v>
                </c:pt>
                <c:pt idx="464">
                  <c:v>44943</c:v>
                </c:pt>
                <c:pt idx="465">
                  <c:v>44944</c:v>
                </c:pt>
                <c:pt idx="466">
                  <c:v>44945</c:v>
                </c:pt>
                <c:pt idx="467">
                  <c:v>44946</c:v>
                </c:pt>
                <c:pt idx="468">
                  <c:v>44949</c:v>
                </c:pt>
                <c:pt idx="469">
                  <c:v>44950</c:v>
                </c:pt>
                <c:pt idx="470">
                  <c:v>44951</c:v>
                </c:pt>
                <c:pt idx="471">
                  <c:v>44953</c:v>
                </c:pt>
                <c:pt idx="472">
                  <c:v>44956</c:v>
                </c:pt>
                <c:pt idx="473">
                  <c:v>44957</c:v>
                </c:pt>
                <c:pt idx="474">
                  <c:v>44958</c:v>
                </c:pt>
                <c:pt idx="475">
                  <c:v>44959</c:v>
                </c:pt>
                <c:pt idx="476">
                  <c:v>44960</c:v>
                </c:pt>
                <c:pt idx="477">
                  <c:v>44963</c:v>
                </c:pt>
                <c:pt idx="478">
                  <c:v>44964</c:v>
                </c:pt>
                <c:pt idx="479">
                  <c:v>44965</c:v>
                </c:pt>
                <c:pt idx="480">
                  <c:v>44966</c:v>
                </c:pt>
                <c:pt idx="481">
                  <c:v>44967</c:v>
                </c:pt>
                <c:pt idx="482">
                  <c:v>44970</c:v>
                </c:pt>
                <c:pt idx="483">
                  <c:v>44971</c:v>
                </c:pt>
                <c:pt idx="484">
                  <c:v>44972</c:v>
                </c:pt>
                <c:pt idx="485">
                  <c:v>44973</c:v>
                </c:pt>
                <c:pt idx="486">
                  <c:v>44974</c:v>
                </c:pt>
                <c:pt idx="487">
                  <c:v>44977</c:v>
                </c:pt>
                <c:pt idx="488">
                  <c:v>44978</c:v>
                </c:pt>
                <c:pt idx="489">
                  <c:v>44979</c:v>
                </c:pt>
                <c:pt idx="490">
                  <c:v>44980</c:v>
                </c:pt>
                <c:pt idx="491">
                  <c:v>44981</c:v>
                </c:pt>
                <c:pt idx="492">
                  <c:v>44984</c:v>
                </c:pt>
                <c:pt idx="493">
                  <c:v>44985</c:v>
                </c:pt>
                <c:pt idx="494">
                  <c:v>44986</c:v>
                </c:pt>
                <c:pt idx="495">
                  <c:v>44987</c:v>
                </c:pt>
                <c:pt idx="496">
                  <c:v>44988</c:v>
                </c:pt>
                <c:pt idx="497">
                  <c:v>44991</c:v>
                </c:pt>
                <c:pt idx="498">
                  <c:v>44993</c:v>
                </c:pt>
                <c:pt idx="499">
                  <c:v>44994</c:v>
                </c:pt>
                <c:pt idx="500">
                  <c:v>44995</c:v>
                </c:pt>
                <c:pt idx="501">
                  <c:v>44998</c:v>
                </c:pt>
                <c:pt idx="502">
                  <c:v>44999</c:v>
                </c:pt>
                <c:pt idx="503">
                  <c:v>45000</c:v>
                </c:pt>
                <c:pt idx="504">
                  <c:v>45001</c:v>
                </c:pt>
                <c:pt idx="505">
                  <c:v>45002</c:v>
                </c:pt>
                <c:pt idx="506">
                  <c:v>45005</c:v>
                </c:pt>
                <c:pt idx="507">
                  <c:v>45006</c:v>
                </c:pt>
                <c:pt idx="508">
                  <c:v>45007</c:v>
                </c:pt>
                <c:pt idx="509">
                  <c:v>45008</c:v>
                </c:pt>
                <c:pt idx="510">
                  <c:v>45009</c:v>
                </c:pt>
                <c:pt idx="511">
                  <c:v>45012</c:v>
                </c:pt>
                <c:pt idx="512">
                  <c:v>45013</c:v>
                </c:pt>
                <c:pt idx="513">
                  <c:v>45014</c:v>
                </c:pt>
                <c:pt idx="514">
                  <c:v>45016</c:v>
                </c:pt>
                <c:pt idx="515">
                  <c:v>45019</c:v>
                </c:pt>
                <c:pt idx="516">
                  <c:v>45021</c:v>
                </c:pt>
                <c:pt idx="517">
                  <c:v>45022</c:v>
                </c:pt>
                <c:pt idx="518">
                  <c:v>45026</c:v>
                </c:pt>
                <c:pt idx="519">
                  <c:v>45027</c:v>
                </c:pt>
                <c:pt idx="520">
                  <c:v>45028</c:v>
                </c:pt>
                <c:pt idx="521">
                  <c:v>45029</c:v>
                </c:pt>
                <c:pt idx="522">
                  <c:v>45033</c:v>
                </c:pt>
                <c:pt idx="523">
                  <c:v>45034</c:v>
                </c:pt>
                <c:pt idx="524">
                  <c:v>45035</c:v>
                </c:pt>
                <c:pt idx="525">
                  <c:v>45036</c:v>
                </c:pt>
                <c:pt idx="526">
                  <c:v>45037</c:v>
                </c:pt>
                <c:pt idx="527">
                  <c:v>45040</c:v>
                </c:pt>
                <c:pt idx="528">
                  <c:v>45041</c:v>
                </c:pt>
                <c:pt idx="529">
                  <c:v>45042</c:v>
                </c:pt>
                <c:pt idx="530">
                  <c:v>45043</c:v>
                </c:pt>
                <c:pt idx="531">
                  <c:v>45044</c:v>
                </c:pt>
                <c:pt idx="532">
                  <c:v>45048</c:v>
                </c:pt>
                <c:pt idx="533">
                  <c:v>45049</c:v>
                </c:pt>
                <c:pt idx="534">
                  <c:v>45050</c:v>
                </c:pt>
                <c:pt idx="535">
                  <c:v>45051</c:v>
                </c:pt>
                <c:pt idx="536">
                  <c:v>45054</c:v>
                </c:pt>
                <c:pt idx="537">
                  <c:v>45055</c:v>
                </c:pt>
                <c:pt idx="538">
                  <c:v>45056</c:v>
                </c:pt>
                <c:pt idx="539">
                  <c:v>45057</c:v>
                </c:pt>
                <c:pt idx="540">
                  <c:v>45058</c:v>
                </c:pt>
                <c:pt idx="541">
                  <c:v>45061</c:v>
                </c:pt>
                <c:pt idx="542">
                  <c:v>45062</c:v>
                </c:pt>
                <c:pt idx="543">
                  <c:v>45063</c:v>
                </c:pt>
                <c:pt idx="544">
                  <c:v>45064</c:v>
                </c:pt>
                <c:pt idx="545">
                  <c:v>45065</c:v>
                </c:pt>
                <c:pt idx="546">
                  <c:v>45068</c:v>
                </c:pt>
                <c:pt idx="547">
                  <c:v>45069</c:v>
                </c:pt>
                <c:pt idx="548">
                  <c:v>45070</c:v>
                </c:pt>
                <c:pt idx="549">
                  <c:v>45071</c:v>
                </c:pt>
                <c:pt idx="550">
                  <c:v>45072</c:v>
                </c:pt>
                <c:pt idx="551">
                  <c:v>45075</c:v>
                </c:pt>
                <c:pt idx="552">
                  <c:v>45076</c:v>
                </c:pt>
                <c:pt idx="553">
                  <c:v>45077</c:v>
                </c:pt>
                <c:pt idx="554">
                  <c:v>45078</c:v>
                </c:pt>
                <c:pt idx="555">
                  <c:v>45079</c:v>
                </c:pt>
                <c:pt idx="556">
                  <c:v>45082</c:v>
                </c:pt>
                <c:pt idx="557">
                  <c:v>45083</c:v>
                </c:pt>
                <c:pt idx="558">
                  <c:v>45084</c:v>
                </c:pt>
                <c:pt idx="559">
                  <c:v>45085</c:v>
                </c:pt>
                <c:pt idx="560">
                  <c:v>45086</c:v>
                </c:pt>
                <c:pt idx="561">
                  <c:v>45089</c:v>
                </c:pt>
                <c:pt idx="562">
                  <c:v>45090</c:v>
                </c:pt>
                <c:pt idx="563">
                  <c:v>45091</c:v>
                </c:pt>
                <c:pt idx="564">
                  <c:v>45092</c:v>
                </c:pt>
                <c:pt idx="565">
                  <c:v>45093</c:v>
                </c:pt>
                <c:pt idx="566">
                  <c:v>45096</c:v>
                </c:pt>
                <c:pt idx="567">
                  <c:v>45097</c:v>
                </c:pt>
                <c:pt idx="568">
                  <c:v>45098</c:v>
                </c:pt>
                <c:pt idx="569">
                  <c:v>45099</c:v>
                </c:pt>
                <c:pt idx="570">
                  <c:v>45100</c:v>
                </c:pt>
                <c:pt idx="571">
                  <c:v>45103</c:v>
                </c:pt>
                <c:pt idx="572">
                  <c:v>45104</c:v>
                </c:pt>
                <c:pt idx="573">
                  <c:v>45105</c:v>
                </c:pt>
                <c:pt idx="574">
                  <c:v>45107</c:v>
                </c:pt>
                <c:pt idx="575">
                  <c:v>45110</c:v>
                </c:pt>
                <c:pt idx="576">
                  <c:v>45111</c:v>
                </c:pt>
                <c:pt idx="577">
                  <c:v>45112</c:v>
                </c:pt>
                <c:pt idx="578">
                  <c:v>45113</c:v>
                </c:pt>
                <c:pt idx="579">
                  <c:v>45114</c:v>
                </c:pt>
                <c:pt idx="580">
                  <c:v>45117</c:v>
                </c:pt>
                <c:pt idx="581">
                  <c:v>45118</c:v>
                </c:pt>
                <c:pt idx="582">
                  <c:v>45119</c:v>
                </c:pt>
                <c:pt idx="583">
                  <c:v>45120</c:v>
                </c:pt>
                <c:pt idx="584">
                  <c:v>45121</c:v>
                </c:pt>
                <c:pt idx="585">
                  <c:v>45124</c:v>
                </c:pt>
                <c:pt idx="586">
                  <c:v>45125</c:v>
                </c:pt>
                <c:pt idx="587">
                  <c:v>45126</c:v>
                </c:pt>
                <c:pt idx="588">
                  <c:v>45127</c:v>
                </c:pt>
                <c:pt idx="589">
                  <c:v>45128</c:v>
                </c:pt>
                <c:pt idx="590">
                  <c:v>45131</c:v>
                </c:pt>
                <c:pt idx="591">
                  <c:v>45132</c:v>
                </c:pt>
                <c:pt idx="592">
                  <c:v>45133</c:v>
                </c:pt>
                <c:pt idx="593">
                  <c:v>45134</c:v>
                </c:pt>
                <c:pt idx="594">
                  <c:v>45135</c:v>
                </c:pt>
                <c:pt idx="595">
                  <c:v>45138</c:v>
                </c:pt>
                <c:pt idx="596">
                  <c:v>45139</c:v>
                </c:pt>
                <c:pt idx="597">
                  <c:v>45140</c:v>
                </c:pt>
                <c:pt idx="598">
                  <c:v>45141</c:v>
                </c:pt>
                <c:pt idx="599">
                  <c:v>45142</c:v>
                </c:pt>
                <c:pt idx="600">
                  <c:v>45145</c:v>
                </c:pt>
                <c:pt idx="601">
                  <c:v>45146</c:v>
                </c:pt>
                <c:pt idx="602">
                  <c:v>45147</c:v>
                </c:pt>
                <c:pt idx="603">
                  <c:v>45148</c:v>
                </c:pt>
                <c:pt idx="604">
                  <c:v>45149</c:v>
                </c:pt>
                <c:pt idx="605">
                  <c:v>45152</c:v>
                </c:pt>
                <c:pt idx="606">
                  <c:v>45154</c:v>
                </c:pt>
                <c:pt idx="607">
                  <c:v>45155</c:v>
                </c:pt>
                <c:pt idx="608">
                  <c:v>45156</c:v>
                </c:pt>
                <c:pt idx="609">
                  <c:v>45159</c:v>
                </c:pt>
                <c:pt idx="610">
                  <c:v>45160</c:v>
                </c:pt>
                <c:pt idx="611">
                  <c:v>45161</c:v>
                </c:pt>
                <c:pt idx="612">
                  <c:v>45162</c:v>
                </c:pt>
                <c:pt idx="613">
                  <c:v>45163</c:v>
                </c:pt>
                <c:pt idx="614">
                  <c:v>45166</c:v>
                </c:pt>
                <c:pt idx="615">
                  <c:v>45167</c:v>
                </c:pt>
                <c:pt idx="616">
                  <c:v>45168</c:v>
                </c:pt>
                <c:pt idx="617">
                  <c:v>45169</c:v>
                </c:pt>
                <c:pt idx="618">
                  <c:v>45170</c:v>
                </c:pt>
                <c:pt idx="619">
                  <c:v>45173</c:v>
                </c:pt>
                <c:pt idx="620">
                  <c:v>45174</c:v>
                </c:pt>
                <c:pt idx="621">
                  <c:v>45175</c:v>
                </c:pt>
                <c:pt idx="622">
                  <c:v>45176</c:v>
                </c:pt>
                <c:pt idx="623">
                  <c:v>45177</c:v>
                </c:pt>
                <c:pt idx="624">
                  <c:v>45180</c:v>
                </c:pt>
                <c:pt idx="625">
                  <c:v>45181</c:v>
                </c:pt>
                <c:pt idx="626">
                  <c:v>45182</c:v>
                </c:pt>
                <c:pt idx="627">
                  <c:v>45183</c:v>
                </c:pt>
                <c:pt idx="628">
                  <c:v>45184</c:v>
                </c:pt>
                <c:pt idx="629">
                  <c:v>45187</c:v>
                </c:pt>
                <c:pt idx="630">
                  <c:v>45189</c:v>
                </c:pt>
                <c:pt idx="631">
                  <c:v>45190</c:v>
                </c:pt>
                <c:pt idx="632">
                  <c:v>45191</c:v>
                </c:pt>
                <c:pt idx="633">
                  <c:v>45194</c:v>
                </c:pt>
                <c:pt idx="634">
                  <c:v>45195</c:v>
                </c:pt>
                <c:pt idx="635">
                  <c:v>45196</c:v>
                </c:pt>
                <c:pt idx="636">
                  <c:v>45197</c:v>
                </c:pt>
                <c:pt idx="637">
                  <c:v>45198</c:v>
                </c:pt>
                <c:pt idx="638">
                  <c:v>45202</c:v>
                </c:pt>
                <c:pt idx="639">
                  <c:v>45203</c:v>
                </c:pt>
                <c:pt idx="640">
                  <c:v>45204</c:v>
                </c:pt>
                <c:pt idx="641">
                  <c:v>45205</c:v>
                </c:pt>
                <c:pt idx="642">
                  <c:v>45208</c:v>
                </c:pt>
                <c:pt idx="643">
                  <c:v>45209</c:v>
                </c:pt>
                <c:pt idx="644">
                  <c:v>45210</c:v>
                </c:pt>
                <c:pt idx="645">
                  <c:v>45211</c:v>
                </c:pt>
                <c:pt idx="646">
                  <c:v>45212</c:v>
                </c:pt>
                <c:pt idx="647">
                  <c:v>45215</c:v>
                </c:pt>
                <c:pt idx="648">
                  <c:v>45216</c:v>
                </c:pt>
                <c:pt idx="649">
                  <c:v>45217</c:v>
                </c:pt>
                <c:pt idx="650">
                  <c:v>45218</c:v>
                </c:pt>
                <c:pt idx="651">
                  <c:v>45219</c:v>
                </c:pt>
                <c:pt idx="652">
                  <c:v>45222</c:v>
                </c:pt>
                <c:pt idx="653">
                  <c:v>45224</c:v>
                </c:pt>
                <c:pt idx="654">
                  <c:v>45225</c:v>
                </c:pt>
                <c:pt idx="655">
                  <c:v>45226</c:v>
                </c:pt>
                <c:pt idx="656">
                  <c:v>45229</c:v>
                </c:pt>
                <c:pt idx="657">
                  <c:v>45230</c:v>
                </c:pt>
                <c:pt idx="658">
                  <c:v>45231</c:v>
                </c:pt>
                <c:pt idx="659">
                  <c:v>45232</c:v>
                </c:pt>
                <c:pt idx="660">
                  <c:v>45233</c:v>
                </c:pt>
                <c:pt idx="661">
                  <c:v>45236</c:v>
                </c:pt>
                <c:pt idx="662">
                  <c:v>45237</c:v>
                </c:pt>
                <c:pt idx="663">
                  <c:v>45238</c:v>
                </c:pt>
                <c:pt idx="664">
                  <c:v>45239</c:v>
                </c:pt>
                <c:pt idx="665">
                  <c:v>45240</c:v>
                </c:pt>
                <c:pt idx="666">
                  <c:v>45242</c:v>
                </c:pt>
                <c:pt idx="667">
                  <c:v>45243</c:v>
                </c:pt>
                <c:pt idx="668">
                  <c:v>45245</c:v>
                </c:pt>
                <c:pt idx="669">
                  <c:v>45246</c:v>
                </c:pt>
                <c:pt idx="670">
                  <c:v>45247</c:v>
                </c:pt>
                <c:pt idx="671">
                  <c:v>45250</c:v>
                </c:pt>
                <c:pt idx="672">
                  <c:v>45251</c:v>
                </c:pt>
                <c:pt idx="673">
                  <c:v>45252</c:v>
                </c:pt>
                <c:pt idx="674">
                  <c:v>45253</c:v>
                </c:pt>
                <c:pt idx="675">
                  <c:v>45254</c:v>
                </c:pt>
                <c:pt idx="676">
                  <c:v>45258</c:v>
                </c:pt>
                <c:pt idx="677">
                  <c:v>45259</c:v>
                </c:pt>
                <c:pt idx="678">
                  <c:v>45260</c:v>
                </c:pt>
                <c:pt idx="679">
                  <c:v>45261</c:v>
                </c:pt>
                <c:pt idx="680">
                  <c:v>45264</c:v>
                </c:pt>
                <c:pt idx="681">
                  <c:v>45265</c:v>
                </c:pt>
                <c:pt idx="682">
                  <c:v>45266</c:v>
                </c:pt>
                <c:pt idx="683">
                  <c:v>45267</c:v>
                </c:pt>
                <c:pt idx="684">
                  <c:v>45268</c:v>
                </c:pt>
                <c:pt idx="685">
                  <c:v>45271</c:v>
                </c:pt>
                <c:pt idx="686">
                  <c:v>45272</c:v>
                </c:pt>
                <c:pt idx="687">
                  <c:v>45273</c:v>
                </c:pt>
                <c:pt idx="688">
                  <c:v>45274</c:v>
                </c:pt>
                <c:pt idx="689">
                  <c:v>45275</c:v>
                </c:pt>
                <c:pt idx="690">
                  <c:v>45278</c:v>
                </c:pt>
                <c:pt idx="691">
                  <c:v>45279</c:v>
                </c:pt>
                <c:pt idx="692">
                  <c:v>45280</c:v>
                </c:pt>
                <c:pt idx="693">
                  <c:v>45281</c:v>
                </c:pt>
                <c:pt idx="694">
                  <c:v>45282</c:v>
                </c:pt>
                <c:pt idx="695">
                  <c:v>45286</c:v>
                </c:pt>
                <c:pt idx="696">
                  <c:v>45287</c:v>
                </c:pt>
                <c:pt idx="697">
                  <c:v>45288</c:v>
                </c:pt>
                <c:pt idx="698">
                  <c:v>45289</c:v>
                </c:pt>
                <c:pt idx="699">
                  <c:v>45292</c:v>
                </c:pt>
                <c:pt idx="700">
                  <c:v>45293</c:v>
                </c:pt>
                <c:pt idx="701">
                  <c:v>45294</c:v>
                </c:pt>
                <c:pt idx="702">
                  <c:v>45295</c:v>
                </c:pt>
                <c:pt idx="703">
                  <c:v>45296</c:v>
                </c:pt>
                <c:pt idx="704">
                  <c:v>45299</c:v>
                </c:pt>
                <c:pt idx="705">
                  <c:v>45300</c:v>
                </c:pt>
                <c:pt idx="706">
                  <c:v>45301</c:v>
                </c:pt>
                <c:pt idx="707">
                  <c:v>45302</c:v>
                </c:pt>
                <c:pt idx="708">
                  <c:v>45303</c:v>
                </c:pt>
                <c:pt idx="709">
                  <c:v>45306</c:v>
                </c:pt>
                <c:pt idx="710">
                  <c:v>45307</c:v>
                </c:pt>
                <c:pt idx="711">
                  <c:v>45308</c:v>
                </c:pt>
                <c:pt idx="712">
                  <c:v>45309</c:v>
                </c:pt>
                <c:pt idx="713">
                  <c:v>45310</c:v>
                </c:pt>
                <c:pt idx="714">
                  <c:v>45311</c:v>
                </c:pt>
                <c:pt idx="715">
                  <c:v>45314</c:v>
                </c:pt>
                <c:pt idx="716">
                  <c:v>45315</c:v>
                </c:pt>
                <c:pt idx="717">
                  <c:v>45316</c:v>
                </c:pt>
                <c:pt idx="718">
                  <c:v>45320</c:v>
                </c:pt>
                <c:pt idx="719">
                  <c:v>45321</c:v>
                </c:pt>
                <c:pt idx="720">
                  <c:v>45322</c:v>
                </c:pt>
                <c:pt idx="721">
                  <c:v>45323</c:v>
                </c:pt>
                <c:pt idx="722">
                  <c:v>45324</c:v>
                </c:pt>
                <c:pt idx="723">
                  <c:v>45327</c:v>
                </c:pt>
                <c:pt idx="724">
                  <c:v>45328</c:v>
                </c:pt>
                <c:pt idx="725">
                  <c:v>45329</c:v>
                </c:pt>
                <c:pt idx="726">
                  <c:v>45330</c:v>
                </c:pt>
                <c:pt idx="727">
                  <c:v>45331</c:v>
                </c:pt>
                <c:pt idx="728">
                  <c:v>45334</c:v>
                </c:pt>
                <c:pt idx="729">
                  <c:v>45335</c:v>
                </c:pt>
                <c:pt idx="730">
                  <c:v>45336</c:v>
                </c:pt>
                <c:pt idx="731">
                  <c:v>45337</c:v>
                </c:pt>
                <c:pt idx="732">
                  <c:v>45338</c:v>
                </c:pt>
                <c:pt idx="733">
                  <c:v>45341</c:v>
                </c:pt>
                <c:pt idx="734">
                  <c:v>45342</c:v>
                </c:pt>
                <c:pt idx="735">
                  <c:v>45343</c:v>
                </c:pt>
                <c:pt idx="736">
                  <c:v>45344</c:v>
                </c:pt>
                <c:pt idx="737">
                  <c:v>45345</c:v>
                </c:pt>
                <c:pt idx="738">
                  <c:v>45348</c:v>
                </c:pt>
                <c:pt idx="739">
                  <c:v>45349</c:v>
                </c:pt>
                <c:pt idx="740">
                  <c:v>45350</c:v>
                </c:pt>
                <c:pt idx="741">
                  <c:v>45351</c:v>
                </c:pt>
                <c:pt idx="742">
                  <c:v>45352</c:v>
                </c:pt>
                <c:pt idx="743">
                  <c:v>45353</c:v>
                </c:pt>
                <c:pt idx="744">
                  <c:v>45355</c:v>
                </c:pt>
                <c:pt idx="745">
                  <c:v>45356</c:v>
                </c:pt>
                <c:pt idx="746">
                  <c:v>45357</c:v>
                </c:pt>
                <c:pt idx="747">
                  <c:v>45358</c:v>
                </c:pt>
                <c:pt idx="748">
                  <c:v>45362</c:v>
                </c:pt>
                <c:pt idx="749">
                  <c:v>45363</c:v>
                </c:pt>
                <c:pt idx="750">
                  <c:v>45364</c:v>
                </c:pt>
                <c:pt idx="751">
                  <c:v>45365</c:v>
                </c:pt>
                <c:pt idx="752">
                  <c:v>45366</c:v>
                </c:pt>
                <c:pt idx="753">
                  <c:v>45369</c:v>
                </c:pt>
                <c:pt idx="754">
                  <c:v>45370</c:v>
                </c:pt>
                <c:pt idx="755">
                  <c:v>45371</c:v>
                </c:pt>
                <c:pt idx="756">
                  <c:v>45372</c:v>
                </c:pt>
                <c:pt idx="757">
                  <c:v>45373</c:v>
                </c:pt>
                <c:pt idx="758">
                  <c:v>45377</c:v>
                </c:pt>
                <c:pt idx="759">
                  <c:v>45378</c:v>
                </c:pt>
                <c:pt idx="760">
                  <c:v>45379</c:v>
                </c:pt>
                <c:pt idx="761">
                  <c:v>45383</c:v>
                </c:pt>
                <c:pt idx="762">
                  <c:v>45384</c:v>
                </c:pt>
                <c:pt idx="763">
                  <c:v>45385</c:v>
                </c:pt>
                <c:pt idx="764">
                  <c:v>45386</c:v>
                </c:pt>
                <c:pt idx="765">
                  <c:v>45387</c:v>
                </c:pt>
                <c:pt idx="766">
                  <c:v>45390</c:v>
                </c:pt>
                <c:pt idx="767">
                  <c:v>45391</c:v>
                </c:pt>
                <c:pt idx="768">
                  <c:v>45392</c:v>
                </c:pt>
                <c:pt idx="769">
                  <c:v>45394</c:v>
                </c:pt>
                <c:pt idx="770">
                  <c:v>45397</c:v>
                </c:pt>
                <c:pt idx="771">
                  <c:v>45398</c:v>
                </c:pt>
                <c:pt idx="772">
                  <c:v>45400</c:v>
                </c:pt>
                <c:pt idx="773">
                  <c:v>45401</c:v>
                </c:pt>
                <c:pt idx="774">
                  <c:v>45404</c:v>
                </c:pt>
                <c:pt idx="775">
                  <c:v>45405</c:v>
                </c:pt>
                <c:pt idx="776">
                  <c:v>45406</c:v>
                </c:pt>
                <c:pt idx="777">
                  <c:v>45407</c:v>
                </c:pt>
                <c:pt idx="778">
                  <c:v>45408</c:v>
                </c:pt>
                <c:pt idx="779">
                  <c:v>45411</c:v>
                </c:pt>
                <c:pt idx="780">
                  <c:v>45412</c:v>
                </c:pt>
                <c:pt idx="781">
                  <c:v>45414</c:v>
                </c:pt>
                <c:pt idx="782">
                  <c:v>45415</c:v>
                </c:pt>
                <c:pt idx="783">
                  <c:v>45418</c:v>
                </c:pt>
                <c:pt idx="784">
                  <c:v>45419</c:v>
                </c:pt>
                <c:pt idx="785">
                  <c:v>45420</c:v>
                </c:pt>
                <c:pt idx="786">
                  <c:v>45421</c:v>
                </c:pt>
                <c:pt idx="787">
                  <c:v>45422</c:v>
                </c:pt>
                <c:pt idx="788">
                  <c:v>45425</c:v>
                </c:pt>
                <c:pt idx="789">
                  <c:v>45426</c:v>
                </c:pt>
                <c:pt idx="790">
                  <c:v>45427</c:v>
                </c:pt>
                <c:pt idx="791">
                  <c:v>45428</c:v>
                </c:pt>
                <c:pt idx="792">
                  <c:v>45429</c:v>
                </c:pt>
                <c:pt idx="793">
                  <c:v>45430</c:v>
                </c:pt>
                <c:pt idx="794">
                  <c:v>45433</c:v>
                </c:pt>
                <c:pt idx="795">
                  <c:v>45434</c:v>
                </c:pt>
                <c:pt idx="796">
                  <c:v>45435</c:v>
                </c:pt>
                <c:pt idx="797">
                  <c:v>45436</c:v>
                </c:pt>
                <c:pt idx="798">
                  <c:v>45439</c:v>
                </c:pt>
                <c:pt idx="799">
                  <c:v>45440</c:v>
                </c:pt>
                <c:pt idx="800">
                  <c:v>45441</c:v>
                </c:pt>
                <c:pt idx="801">
                  <c:v>45442</c:v>
                </c:pt>
                <c:pt idx="802">
                  <c:v>45443</c:v>
                </c:pt>
                <c:pt idx="803">
                  <c:v>45446</c:v>
                </c:pt>
                <c:pt idx="804">
                  <c:v>45447</c:v>
                </c:pt>
                <c:pt idx="805">
                  <c:v>45448</c:v>
                </c:pt>
                <c:pt idx="806">
                  <c:v>45449</c:v>
                </c:pt>
                <c:pt idx="807">
                  <c:v>45450</c:v>
                </c:pt>
                <c:pt idx="808">
                  <c:v>45453</c:v>
                </c:pt>
                <c:pt idx="809">
                  <c:v>45454</c:v>
                </c:pt>
                <c:pt idx="810">
                  <c:v>45455</c:v>
                </c:pt>
                <c:pt idx="811">
                  <c:v>45456</c:v>
                </c:pt>
                <c:pt idx="812">
                  <c:v>45457</c:v>
                </c:pt>
                <c:pt idx="813">
                  <c:v>45461</c:v>
                </c:pt>
                <c:pt idx="814">
                  <c:v>45462</c:v>
                </c:pt>
                <c:pt idx="815">
                  <c:v>45463</c:v>
                </c:pt>
                <c:pt idx="816">
                  <c:v>45464</c:v>
                </c:pt>
                <c:pt idx="817">
                  <c:v>45467</c:v>
                </c:pt>
                <c:pt idx="818">
                  <c:v>45468</c:v>
                </c:pt>
                <c:pt idx="819">
                  <c:v>45469</c:v>
                </c:pt>
                <c:pt idx="820">
                  <c:v>45470</c:v>
                </c:pt>
                <c:pt idx="821">
                  <c:v>45471</c:v>
                </c:pt>
                <c:pt idx="822">
                  <c:v>45474</c:v>
                </c:pt>
                <c:pt idx="823">
                  <c:v>45475</c:v>
                </c:pt>
                <c:pt idx="824">
                  <c:v>45476</c:v>
                </c:pt>
                <c:pt idx="825">
                  <c:v>45477</c:v>
                </c:pt>
                <c:pt idx="826">
                  <c:v>45478</c:v>
                </c:pt>
                <c:pt idx="827">
                  <c:v>45481</c:v>
                </c:pt>
                <c:pt idx="828">
                  <c:v>45482</c:v>
                </c:pt>
                <c:pt idx="829">
                  <c:v>45483</c:v>
                </c:pt>
                <c:pt idx="830">
                  <c:v>45484</c:v>
                </c:pt>
                <c:pt idx="831">
                  <c:v>45485</c:v>
                </c:pt>
                <c:pt idx="832">
                  <c:v>45488</c:v>
                </c:pt>
                <c:pt idx="833">
                  <c:v>45489</c:v>
                </c:pt>
                <c:pt idx="834">
                  <c:v>45491</c:v>
                </c:pt>
                <c:pt idx="835">
                  <c:v>45492</c:v>
                </c:pt>
                <c:pt idx="836">
                  <c:v>45495</c:v>
                </c:pt>
                <c:pt idx="837">
                  <c:v>45496</c:v>
                </c:pt>
                <c:pt idx="838">
                  <c:v>45497</c:v>
                </c:pt>
                <c:pt idx="839">
                  <c:v>45498</c:v>
                </c:pt>
                <c:pt idx="840">
                  <c:v>45499</c:v>
                </c:pt>
                <c:pt idx="841">
                  <c:v>45502</c:v>
                </c:pt>
                <c:pt idx="842">
                  <c:v>45503</c:v>
                </c:pt>
                <c:pt idx="843">
                  <c:v>45504</c:v>
                </c:pt>
                <c:pt idx="844">
                  <c:v>45505</c:v>
                </c:pt>
                <c:pt idx="845">
                  <c:v>45506</c:v>
                </c:pt>
                <c:pt idx="846">
                  <c:v>45509</c:v>
                </c:pt>
                <c:pt idx="847">
                  <c:v>45510</c:v>
                </c:pt>
                <c:pt idx="848">
                  <c:v>45511</c:v>
                </c:pt>
                <c:pt idx="849">
                  <c:v>45512</c:v>
                </c:pt>
                <c:pt idx="850">
                  <c:v>45513</c:v>
                </c:pt>
                <c:pt idx="851">
                  <c:v>45516</c:v>
                </c:pt>
                <c:pt idx="852">
                  <c:v>45517</c:v>
                </c:pt>
                <c:pt idx="853">
                  <c:v>45518</c:v>
                </c:pt>
                <c:pt idx="854">
                  <c:v>45520</c:v>
                </c:pt>
                <c:pt idx="855">
                  <c:v>45523</c:v>
                </c:pt>
                <c:pt idx="856">
                  <c:v>45524</c:v>
                </c:pt>
                <c:pt idx="857">
                  <c:v>45525</c:v>
                </c:pt>
                <c:pt idx="858">
                  <c:v>45526</c:v>
                </c:pt>
                <c:pt idx="859">
                  <c:v>45527</c:v>
                </c:pt>
                <c:pt idx="860">
                  <c:v>45530</c:v>
                </c:pt>
                <c:pt idx="861">
                  <c:v>45531</c:v>
                </c:pt>
                <c:pt idx="862">
                  <c:v>45532</c:v>
                </c:pt>
                <c:pt idx="863">
                  <c:v>45533</c:v>
                </c:pt>
                <c:pt idx="864">
                  <c:v>45534</c:v>
                </c:pt>
                <c:pt idx="865">
                  <c:v>45537</c:v>
                </c:pt>
                <c:pt idx="866">
                  <c:v>45538</c:v>
                </c:pt>
                <c:pt idx="867">
                  <c:v>45539</c:v>
                </c:pt>
                <c:pt idx="868">
                  <c:v>45540</c:v>
                </c:pt>
                <c:pt idx="869">
                  <c:v>45541</c:v>
                </c:pt>
                <c:pt idx="870">
                  <c:v>45544</c:v>
                </c:pt>
                <c:pt idx="871">
                  <c:v>45545</c:v>
                </c:pt>
                <c:pt idx="872">
                  <c:v>45546</c:v>
                </c:pt>
                <c:pt idx="873">
                  <c:v>45547</c:v>
                </c:pt>
                <c:pt idx="874">
                  <c:v>45548</c:v>
                </c:pt>
                <c:pt idx="875">
                  <c:v>45551</c:v>
                </c:pt>
                <c:pt idx="876">
                  <c:v>45552</c:v>
                </c:pt>
                <c:pt idx="877">
                  <c:v>45553</c:v>
                </c:pt>
                <c:pt idx="878">
                  <c:v>45554</c:v>
                </c:pt>
                <c:pt idx="879">
                  <c:v>45555</c:v>
                </c:pt>
                <c:pt idx="880">
                  <c:v>45558</c:v>
                </c:pt>
                <c:pt idx="881">
                  <c:v>45559</c:v>
                </c:pt>
                <c:pt idx="882">
                  <c:v>45560</c:v>
                </c:pt>
                <c:pt idx="883">
                  <c:v>45561</c:v>
                </c:pt>
                <c:pt idx="884">
                  <c:v>45562</c:v>
                </c:pt>
                <c:pt idx="885">
                  <c:v>45565</c:v>
                </c:pt>
                <c:pt idx="886">
                  <c:v>45566</c:v>
                </c:pt>
                <c:pt idx="887">
                  <c:v>45568</c:v>
                </c:pt>
                <c:pt idx="888">
                  <c:v>45569</c:v>
                </c:pt>
                <c:pt idx="889">
                  <c:v>45572</c:v>
                </c:pt>
                <c:pt idx="890">
                  <c:v>45573</c:v>
                </c:pt>
                <c:pt idx="891">
                  <c:v>45574</c:v>
                </c:pt>
                <c:pt idx="892">
                  <c:v>45575</c:v>
                </c:pt>
                <c:pt idx="893">
                  <c:v>45576</c:v>
                </c:pt>
                <c:pt idx="894">
                  <c:v>45579</c:v>
                </c:pt>
                <c:pt idx="895">
                  <c:v>45580</c:v>
                </c:pt>
                <c:pt idx="896">
                  <c:v>45581</c:v>
                </c:pt>
                <c:pt idx="897">
                  <c:v>45582</c:v>
                </c:pt>
                <c:pt idx="898">
                  <c:v>45583</c:v>
                </c:pt>
                <c:pt idx="899">
                  <c:v>45586</c:v>
                </c:pt>
                <c:pt idx="900">
                  <c:v>45587</c:v>
                </c:pt>
                <c:pt idx="901">
                  <c:v>45588</c:v>
                </c:pt>
                <c:pt idx="902">
                  <c:v>45589</c:v>
                </c:pt>
                <c:pt idx="903">
                  <c:v>45590</c:v>
                </c:pt>
                <c:pt idx="904">
                  <c:v>45593</c:v>
                </c:pt>
                <c:pt idx="905">
                  <c:v>45594</c:v>
                </c:pt>
                <c:pt idx="906">
                  <c:v>45595</c:v>
                </c:pt>
                <c:pt idx="907">
                  <c:v>45596</c:v>
                </c:pt>
                <c:pt idx="908">
                  <c:v>45597</c:v>
                </c:pt>
                <c:pt idx="909">
                  <c:v>45600</c:v>
                </c:pt>
                <c:pt idx="910">
                  <c:v>45601</c:v>
                </c:pt>
                <c:pt idx="911">
                  <c:v>45602</c:v>
                </c:pt>
                <c:pt idx="912">
                  <c:v>45603</c:v>
                </c:pt>
                <c:pt idx="913">
                  <c:v>45604</c:v>
                </c:pt>
                <c:pt idx="914">
                  <c:v>45607</c:v>
                </c:pt>
                <c:pt idx="915">
                  <c:v>45608</c:v>
                </c:pt>
                <c:pt idx="916">
                  <c:v>45609</c:v>
                </c:pt>
                <c:pt idx="917">
                  <c:v>45610</c:v>
                </c:pt>
                <c:pt idx="918">
                  <c:v>45614</c:v>
                </c:pt>
                <c:pt idx="919">
                  <c:v>45615</c:v>
                </c:pt>
                <c:pt idx="920">
                  <c:v>45617</c:v>
                </c:pt>
                <c:pt idx="921">
                  <c:v>45618</c:v>
                </c:pt>
                <c:pt idx="922">
                  <c:v>45621</c:v>
                </c:pt>
                <c:pt idx="923">
                  <c:v>45622</c:v>
                </c:pt>
                <c:pt idx="924">
                  <c:v>45623</c:v>
                </c:pt>
                <c:pt idx="925">
                  <c:v>45624</c:v>
                </c:pt>
                <c:pt idx="926">
                  <c:v>45625</c:v>
                </c:pt>
                <c:pt idx="927">
                  <c:v>45628</c:v>
                </c:pt>
                <c:pt idx="928">
                  <c:v>45629</c:v>
                </c:pt>
                <c:pt idx="929">
                  <c:v>45630</c:v>
                </c:pt>
                <c:pt idx="930">
                  <c:v>45631</c:v>
                </c:pt>
                <c:pt idx="931">
                  <c:v>45632</c:v>
                </c:pt>
                <c:pt idx="932">
                  <c:v>45635</c:v>
                </c:pt>
                <c:pt idx="933">
                  <c:v>45636</c:v>
                </c:pt>
                <c:pt idx="934">
                  <c:v>45637</c:v>
                </c:pt>
                <c:pt idx="935">
                  <c:v>45638</c:v>
                </c:pt>
                <c:pt idx="936">
                  <c:v>45639</c:v>
                </c:pt>
                <c:pt idx="937">
                  <c:v>45642</c:v>
                </c:pt>
                <c:pt idx="938">
                  <c:v>45643</c:v>
                </c:pt>
                <c:pt idx="939">
                  <c:v>45644</c:v>
                </c:pt>
                <c:pt idx="940">
                  <c:v>45645</c:v>
                </c:pt>
                <c:pt idx="941">
                  <c:v>45646</c:v>
                </c:pt>
                <c:pt idx="942">
                  <c:v>45649</c:v>
                </c:pt>
                <c:pt idx="943">
                  <c:v>45650</c:v>
                </c:pt>
                <c:pt idx="944">
                  <c:v>45652</c:v>
                </c:pt>
                <c:pt idx="945">
                  <c:v>45653</c:v>
                </c:pt>
                <c:pt idx="946">
                  <c:v>45656</c:v>
                </c:pt>
                <c:pt idx="947">
                  <c:v>45657</c:v>
                </c:pt>
                <c:pt idx="948">
                  <c:v>45658</c:v>
                </c:pt>
                <c:pt idx="949">
                  <c:v>45659</c:v>
                </c:pt>
                <c:pt idx="950">
                  <c:v>45660</c:v>
                </c:pt>
                <c:pt idx="951">
                  <c:v>45663</c:v>
                </c:pt>
                <c:pt idx="952">
                  <c:v>45664</c:v>
                </c:pt>
                <c:pt idx="953">
                  <c:v>45665</c:v>
                </c:pt>
                <c:pt idx="954">
                  <c:v>45666</c:v>
                </c:pt>
                <c:pt idx="955">
                  <c:v>45667</c:v>
                </c:pt>
                <c:pt idx="956">
                  <c:v>45670</c:v>
                </c:pt>
                <c:pt idx="957">
                  <c:v>45671</c:v>
                </c:pt>
                <c:pt idx="958">
                  <c:v>45672</c:v>
                </c:pt>
                <c:pt idx="959">
                  <c:v>45673</c:v>
                </c:pt>
                <c:pt idx="960">
                  <c:v>45674</c:v>
                </c:pt>
                <c:pt idx="961">
                  <c:v>45677</c:v>
                </c:pt>
                <c:pt idx="962">
                  <c:v>45678</c:v>
                </c:pt>
                <c:pt idx="963">
                  <c:v>45679</c:v>
                </c:pt>
                <c:pt idx="964">
                  <c:v>45680</c:v>
                </c:pt>
                <c:pt idx="965">
                  <c:v>45681</c:v>
                </c:pt>
                <c:pt idx="966">
                  <c:v>45684</c:v>
                </c:pt>
                <c:pt idx="967">
                  <c:v>45685</c:v>
                </c:pt>
                <c:pt idx="968">
                  <c:v>45686</c:v>
                </c:pt>
                <c:pt idx="969">
                  <c:v>45687</c:v>
                </c:pt>
                <c:pt idx="970">
                  <c:v>45688</c:v>
                </c:pt>
                <c:pt idx="971">
                  <c:v>45689</c:v>
                </c:pt>
                <c:pt idx="972">
                  <c:v>45691</c:v>
                </c:pt>
                <c:pt idx="973">
                  <c:v>45692</c:v>
                </c:pt>
                <c:pt idx="974">
                  <c:v>45693</c:v>
                </c:pt>
                <c:pt idx="975">
                  <c:v>45694</c:v>
                </c:pt>
                <c:pt idx="976">
                  <c:v>45695</c:v>
                </c:pt>
                <c:pt idx="977">
                  <c:v>45698</c:v>
                </c:pt>
                <c:pt idx="978">
                  <c:v>45699</c:v>
                </c:pt>
                <c:pt idx="979">
                  <c:v>45700</c:v>
                </c:pt>
                <c:pt idx="980">
                  <c:v>45701</c:v>
                </c:pt>
                <c:pt idx="981">
                  <c:v>45702</c:v>
                </c:pt>
                <c:pt idx="982">
                  <c:v>45705</c:v>
                </c:pt>
                <c:pt idx="983">
                  <c:v>45706</c:v>
                </c:pt>
                <c:pt idx="984">
                  <c:v>45707</c:v>
                </c:pt>
                <c:pt idx="985">
                  <c:v>45708</c:v>
                </c:pt>
                <c:pt idx="986">
                  <c:v>45709</c:v>
                </c:pt>
                <c:pt idx="987">
                  <c:v>45712</c:v>
                </c:pt>
                <c:pt idx="988">
                  <c:v>45713</c:v>
                </c:pt>
                <c:pt idx="989">
                  <c:v>45715</c:v>
                </c:pt>
                <c:pt idx="990">
                  <c:v>45716</c:v>
                </c:pt>
                <c:pt idx="991">
                  <c:v>45719</c:v>
                </c:pt>
                <c:pt idx="992">
                  <c:v>45720</c:v>
                </c:pt>
                <c:pt idx="993">
                  <c:v>45721</c:v>
                </c:pt>
                <c:pt idx="994">
                  <c:v>45722</c:v>
                </c:pt>
                <c:pt idx="995">
                  <c:v>45723</c:v>
                </c:pt>
                <c:pt idx="996">
                  <c:v>45726</c:v>
                </c:pt>
                <c:pt idx="997">
                  <c:v>45727</c:v>
                </c:pt>
                <c:pt idx="998">
                  <c:v>45728</c:v>
                </c:pt>
                <c:pt idx="999">
                  <c:v>45729</c:v>
                </c:pt>
                <c:pt idx="1000">
                  <c:v>45733</c:v>
                </c:pt>
                <c:pt idx="1001">
                  <c:v>45734</c:v>
                </c:pt>
                <c:pt idx="1002">
                  <c:v>45735</c:v>
                </c:pt>
                <c:pt idx="1003">
                  <c:v>45736</c:v>
                </c:pt>
                <c:pt idx="1004">
                  <c:v>45737</c:v>
                </c:pt>
                <c:pt idx="1005">
                  <c:v>45740</c:v>
                </c:pt>
                <c:pt idx="1006">
                  <c:v>45741</c:v>
                </c:pt>
                <c:pt idx="1007">
                  <c:v>45742</c:v>
                </c:pt>
                <c:pt idx="1008">
                  <c:v>45743</c:v>
                </c:pt>
                <c:pt idx="1009">
                  <c:v>45744</c:v>
                </c:pt>
                <c:pt idx="1010">
                  <c:v>45748</c:v>
                </c:pt>
                <c:pt idx="1011">
                  <c:v>45749</c:v>
                </c:pt>
                <c:pt idx="1012">
                  <c:v>45750</c:v>
                </c:pt>
                <c:pt idx="1013">
                  <c:v>45751</c:v>
                </c:pt>
                <c:pt idx="1014">
                  <c:v>45754</c:v>
                </c:pt>
                <c:pt idx="1015">
                  <c:v>45755</c:v>
                </c:pt>
                <c:pt idx="1016">
                  <c:v>45756</c:v>
                </c:pt>
                <c:pt idx="1017">
                  <c:v>45758</c:v>
                </c:pt>
                <c:pt idx="1018">
                  <c:v>45762</c:v>
                </c:pt>
                <c:pt idx="1019">
                  <c:v>45763</c:v>
                </c:pt>
                <c:pt idx="1020">
                  <c:v>45764</c:v>
                </c:pt>
                <c:pt idx="1021">
                  <c:v>45768</c:v>
                </c:pt>
                <c:pt idx="1022">
                  <c:v>45769</c:v>
                </c:pt>
                <c:pt idx="1023">
                  <c:v>45770</c:v>
                </c:pt>
                <c:pt idx="1024">
                  <c:v>45771</c:v>
                </c:pt>
                <c:pt idx="1025">
                  <c:v>45772</c:v>
                </c:pt>
                <c:pt idx="1026">
                  <c:v>45775</c:v>
                </c:pt>
                <c:pt idx="1027">
                  <c:v>45776</c:v>
                </c:pt>
                <c:pt idx="1028">
                  <c:v>45777</c:v>
                </c:pt>
                <c:pt idx="1029">
                  <c:v>45779</c:v>
                </c:pt>
                <c:pt idx="1030">
                  <c:v>45782</c:v>
                </c:pt>
                <c:pt idx="1031">
                  <c:v>45783</c:v>
                </c:pt>
                <c:pt idx="1032">
                  <c:v>45784</c:v>
                </c:pt>
                <c:pt idx="1033">
                  <c:v>45785</c:v>
                </c:pt>
                <c:pt idx="1034">
                  <c:v>45786</c:v>
                </c:pt>
                <c:pt idx="1035">
                  <c:v>45789</c:v>
                </c:pt>
                <c:pt idx="1036">
                  <c:v>45790</c:v>
                </c:pt>
                <c:pt idx="1037">
                  <c:v>45791</c:v>
                </c:pt>
                <c:pt idx="1038">
                  <c:v>45792</c:v>
                </c:pt>
                <c:pt idx="1039">
                  <c:v>45793</c:v>
                </c:pt>
                <c:pt idx="1040">
                  <c:v>45796</c:v>
                </c:pt>
                <c:pt idx="1041">
                  <c:v>45797</c:v>
                </c:pt>
                <c:pt idx="1042">
                  <c:v>45798</c:v>
                </c:pt>
                <c:pt idx="1043">
                  <c:v>45799</c:v>
                </c:pt>
                <c:pt idx="1044">
                  <c:v>45800</c:v>
                </c:pt>
                <c:pt idx="1045">
                  <c:v>45803</c:v>
                </c:pt>
                <c:pt idx="1046">
                  <c:v>45804</c:v>
                </c:pt>
                <c:pt idx="1047">
                  <c:v>45805</c:v>
                </c:pt>
                <c:pt idx="1048">
                  <c:v>45806</c:v>
                </c:pt>
                <c:pt idx="1049">
                  <c:v>45807</c:v>
                </c:pt>
                <c:pt idx="1050">
                  <c:v>45810</c:v>
                </c:pt>
                <c:pt idx="1051">
                  <c:v>45811</c:v>
                </c:pt>
                <c:pt idx="1052">
                  <c:v>45812</c:v>
                </c:pt>
                <c:pt idx="1053">
                  <c:v>45813</c:v>
                </c:pt>
                <c:pt idx="1054">
                  <c:v>45814</c:v>
                </c:pt>
                <c:pt idx="1055">
                  <c:v>45817</c:v>
                </c:pt>
                <c:pt idx="1056">
                  <c:v>45818</c:v>
                </c:pt>
                <c:pt idx="1057">
                  <c:v>45819</c:v>
                </c:pt>
                <c:pt idx="1058">
                  <c:v>45820</c:v>
                </c:pt>
                <c:pt idx="1059">
                  <c:v>45821</c:v>
                </c:pt>
                <c:pt idx="1060">
                  <c:v>45824</c:v>
                </c:pt>
                <c:pt idx="1061">
                  <c:v>45825</c:v>
                </c:pt>
                <c:pt idx="1062">
                  <c:v>45826</c:v>
                </c:pt>
                <c:pt idx="1063">
                  <c:v>45827</c:v>
                </c:pt>
                <c:pt idx="1064">
                  <c:v>45828</c:v>
                </c:pt>
                <c:pt idx="1065">
                  <c:v>45831</c:v>
                </c:pt>
                <c:pt idx="1066">
                  <c:v>45832</c:v>
                </c:pt>
                <c:pt idx="1067">
                  <c:v>45833</c:v>
                </c:pt>
                <c:pt idx="1068">
                  <c:v>45834</c:v>
                </c:pt>
                <c:pt idx="1069">
                  <c:v>45835</c:v>
                </c:pt>
                <c:pt idx="1070">
                  <c:v>45838</c:v>
                </c:pt>
                <c:pt idx="1071">
                  <c:v>45839</c:v>
                </c:pt>
                <c:pt idx="1072">
                  <c:v>45840</c:v>
                </c:pt>
                <c:pt idx="1073">
                  <c:v>45841</c:v>
                </c:pt>
                <c:pt idx="1074">
                  <c:v>45842</c:v>
                </c:pt>
                <c:pt idx="1075">
                  <c:v>45845</c:v>
                </c:pt>
                <c:pt idx="1076">
                  <c:v>45846</c:v>
                </c:pt>
                <c:pt idx="1077">
                  <c:v>45847</c:v>
                </c:pt>
                <c:pt idx="1078">
                  <c:v>45848</c:v>
                </c:pt>
                <c:pt idx="1079">
                  <c:v>45849</c:v>
                </c:pt>
                <c:pt idx="1080">
                  <c:v>45852</c:v>
                </c:pt>
                <c:pt idx="1081">
                  <c:v>45853</c:v>
                </c:pt>
                <c:pt idx="1082">
                  <c:v>45854</c:v>
                </c:pt>
                <c:pt idx="1083">
                  <c:v>45855</c:v>
                </c:pt>
                <c:pt idx="1084">
                  <c:v>45856</c:v>
                </c:pt>
                <c:pt idx="1085">
                  <c:v>45859</c:v>
                </c:pt>
                <c:pt idx="1086">
                  <c:v>45860</c:v>
                </c:pt>
                <c:pt idx="1087">
                  <c:v>45861</c:v>
                </c:pt>
                <c:pt idx="1088">
                  <c:v>45862</c:v>
                </c:pt>
                <c:pt idx="1089">
                  <c:v>45863</c:v>
                </c:pt>
                <c:pt idx="1090">
                  <c:v>45866</c:v>
                </c:pt>
                <c:pt idx="1091">
                  <c:v>45867</c:v>
                </c:pt>
                <c:pt idx="1092">
                  <c:v>45868</c:v>
                </c:pt>
                <c:pt idx="1093">
                  <c:v>45869</c:v>
                </c:pt>
                <c:pt idx="1094">
                  <c:v>45870</c:v>
                </c:pt>
                <c:pt idx="1095">
                  <c:v>45873</c:v>
                </c:pt>
                <c:pt idx="1096">
                  <c:v>45874</c:v>
                </c:pt>
                <c:pt idx="1097">
                  <c:v>45875</c:v>
                </c:pt>
                <c:pt idx="1098">
                  <c:v>45876</c:v>
                </c:pt>
                <c:pt idx="1099">
                  <c:v>45877</c:v>
                </c:pt>
                <c:pt idx="1100">
                  <c:v>45880</c:v>
                </c:pt>
                <c:pt idx="1101">
                  <c:v>45881</c:v>
                </c:pt>
                <c:pt idx="1102">
                  <c:v>45882</c:v>
                </c:pt>
                <c:pt idx="1103">
                  <c:v>45883</c:v>
                </c:pt>
                <c:pt idx="1104">
                  <c:v>45887</c:v>
                </c:pt>
                <c:pt idx="1105">
                  <c:v>45888</c:v>
                </c:pt>
                <c:pt idx="1106">
                  <c:v>45889</c:v>
                </c:pt>
                <c:pt idx="1107">
                  <c:v>45890</c:v>
                </c:pt>
                <c:pt idx="1108">
                  <c:v>45891</c:v>
                </c:pt>
                <c:pt idx="1109">
                  <c:v>45894</c:v>
                </c:pt>
                <c:pt idx="1110">
                  <c:v>45895</c:v>
                </c:pt>
                <c:pt idx="1111">
                  <c:v>45897</c:v>
                </c:pt>
                <c:pt idx="1112">
                  <c:v>45898</c:v>
                </c:pt>
                <c:pt idx="1113">
                  <c:v>45901</c:v>
                </c:pt>
                <c:pt idx="1114">
                  <c:v>45902</c:v>
                </c:pt>
                <c:pt idx="1115">
                  <c:v>45903</c:v>
                </c:pt>
                <c:pt idx="1116">
                  <c:v>45904</c:v>
                </c:pt>
                <c:pt idx="1117">
                  <c:v>45905</c:v>
                </c:pt>
                <c:pt idx="1118">
                  <c:v>45908</c:v>
                </c:pt>
                <c:pt idx="1119">
                  <c:v>45909</c:v>
                </c:pt>
                <c:pt idx="1120">
                  <c:v>45910</c:v>
                </c:pt>
                <c:pt idx="1121">
                  <c:v>45911</c:v>
                </c:pt>
                <c:pt idx="1122">
                  <c:v>45912</c:v>
                </c:pt>
                <c:pt idx="1123">
                  <c:v>45915</c:v>
                </c:pt>
                <c:pt idx="1124">
                  <c:v>45916</c:v>
                </c:pt>
                <c:pt idx="1125">
                  <c:v>45917</c:v>
                </c:pt>
                <c:pt idx="1126">
                  <c:v>45918</c:v>
                </c:pt>
                <c:pt idx="1127">
                  <c:v>45919</c:v>
                </c:pt>
                <c:pt idx="1128">
                  <c:v>45922</c:v>
                </c:pt>
                <c:pt idx="1129">
                  <c:v>45923</c:v>
                </c:pt>
                <c:pt idx="1130">
                  <c:v>45924</c:v>
                </c:pt>
                <c:pt idx="1131">
                  <c:v>45925</c:v>
                </c:pt>
                <c:pt idx="1132">
                  <c:v>45926</c:v>
                </c:pt>
                <c:pt idx="1133">
                  <c:v>45929</c:v>
                </c:pt>
                <c:pt idx="1134">
                  <c:v>45930</c:v>
                </c:pt>
                <c:pt idx="1135">
                  <c:v>45931</c:v>
                </c:pt>
                <c:pt idx="1136">
                  <c:v>45933</c:v>
                </c:pt>
                <c:pt idx="1137">
                  <c:v>45936</c:v>
                </c:pt>
                <c:pt idx="1138">
                  <c:v>45937</c:v>
                </c:pt>
                <c:pt idx="1139">
                  <c:v>45938</c:v>
                </c:pt>
                <c:pt idx="1140">
                  <c:v>45939</c:v>
                </c:pt>
                <c:pt idx="1141">
                  <c:v>45940</c:v>
                </c:pt>
                <c:pt idx="1142">
                  <c:v>45943</c:v>
                </c:pt>
                <c:pt idx="1143">
                  <c:v>45944</c:v>
                </c:pt>
                <c:pt idx="1144">
                  <c:v>45945</c:v>
                </c:pt>
                <c:pt idx="1145">
                  <c:v>45946</c:v>
                </c:pt>
                <c:pt idx="1146">
                  <c:v>45947</c:v>
                </c:pt>
                <c:pt idx="1147">
                  <c:v>45950</c:v>
                </c:pt>
                <c:pt idx="1148">
                  <c:v>45951</c:v>
                </c:pt>
                <c:pt idx="1149">
                  <c:v>45953</c:v>
                </c:pt>
                <c:pt idx="1150">
                  <c:v>45954</c:v>
                </c:pt>
                <c:pt idx="1151">
                  <c:v>45957</c:v>
                </c:pt>
                <c:pt idx="1152">
                  <c:v>45958</c:v>
                </c:pt>
                <c:pt idx="1153">
                  <c:v>45959</c:v>
                </c:pt>
                <c:pt idx="1154">
                  <c:v>45960</c:v>
                </c:pt>
                <c:pt idx="1155">
                  <c:v>45961</c:v>
                </c:pt>
                <c:pt idx="1156">
                  <c:v>45964</c:v>
                </c:pt>
                <c:pt idx="1157">
                  <c:v>45965</c:v>
                </c:pt>
                <c:pt idx="1158">
                  <c:v>45967</c:v>
                </c:pt>
                <c:pt idx="1159">
                  <c:v>45968</c:v>
                </c:pt>
                <c:pt idx="1160">
                  <c:v>45971</c:v>
                </c:pt>
                <c:pt idx="1161">
                  <c:v>45972</c:v>
                </c:pt>
                <c:pt idx="1162">
                  <c:v>45973</c:v>
                </c:pt>
                <c:pt idx="1163">
                  <c:v>45974</c:v>
                </c:pt>
                <c:pt idx="1164">
                  <c:v>45975</c:v>
                </c:pt>
                <c:pt idx="1165">
                  <c:v>45978</c:v>
                </c:pt>
                <c:pt idx="1166">
                  <c:v>45979</c:v>
                </c:pt>
                <c:pt idx="1167">
                  <c:v>45980</c:v>
                </c:pt>
                <c:pt idx="1168">
                  <c:v>45981</c:v>
                </c:pt>
                <c:pt idx="1169">
                  <c:v>45982</c:v>
                </c:pt>
                <c:pt idx="1170">
                  <c:v>45985</c:v>
                </c:pt>
                <c:pt idx="1171">
                  <c:v>45986</c:v>
                </c:pt>
                <c:pt idx="1172">
                  <c:v>45987</c:v>
                </c:pt>
                <c:pt idx="1173">
                  <c:v>45988</c:v>
                </c:pt>
                <c:pt idx="1174">
                  <c:v>45989</c:v>
                </c:pt>
                <c:pt idx="1175">
                  <c:v>45992</c:v>
                </c:pt>
                <c:pt idx="1176">
                  <c:v>45993</c:v>
                </c:pt>
                <c:pt idx="1177">
                  <c:v>45994</c:v>
                </c:pt>
                <c:pt idx="1178">
                  <c:v>45995</c:v>
                </c:pt>
                <c:pt idx="1179">
                  <c:v>45996</c:v>
                </c:pt>
                <c:pt idx="1180">
                  <c:v>45999</c:v>
                </c:pt>
                <c:pt idx="1181">
                  <c:v>46000</c:v>
                </c:pt>
                <c:pt idx="1182">
                  <c:v>46001</c:v>
                </c:pt>
                <c:pt idx="1183">
                  <c:v>46002</c:v>
                </c:pt>
                <c:pt idx="1184">
                  <c:v>46003</c:v>
                </c:pt>
                <c:pt idx="1185">
                  <c:v>46006</c:v>
                </c:pt>
                <c:pt idx="1186">
                  <c:v>46007</c:v>
                </c:pt>
                <c:pt idx="1187">
                  <c:v>46008</c:v>
                </c:pt>
                <c:pt idx="1188">
                  <c:v>46009</c:v>
                </c:pt>
                <c:pt idx="1189">
                  <c:v>46010</c:v>
                </c:pt>
                <c:pt idx="1190">
                  <c:v>46013</c:v>
                </c:pt>
                <c:pt idx="1191">
                  <c:v>46014</c:v>
                </c:pt>
                <c:pt idx="1192">
                  <c:v>46015</c:v>
                </c:pt>
                <c:pt idx="1193">
                  <c:v>46017</c:v>
                </c:pt>
                <c:pt idx="1194">
                  <c:v>46020</c:v>
                </c:pt>
                <c:pt idx="1195">
                  <c:v>46021</c:v>
                </c:pt>
                <c:pt idx="1196">
                  <c:v>46022</c:v>
                </c:pt>
                <c:pt idx="1197">
                  <c:v>46023</c:v>
                </c:pt>
                <c:pt idx="1198">
                  <c:v>46024</c:v>
                </c:pt>
                <c:pt idx="1199">
                  <c:v>46027</c:v>
                </c:pt>
                <c:pt idx="1200">
                  <c:v>46028</c:v>
                </c:pt>
                <c:pt idx="1201">
                  <c:v>46029</c:v>
                </c:pt>
                <c:pt idx="1202">
                  <c:v>46030</c:v>
                </c:pt>
                <c:pt idx="1203">
                  <c:v>46031</c:v>
                </c:pt>
                <c:pt idx="1204">
                  <c:v>46034</c:v>
                </c:pt>
                <c:pt idx="1205">
                  <c:v>46035</c:v>
                </c:pt>
                <c:pt idx="1206">
                  <c:v>46036</c:v>
                </c:pt>
                <c:pt idx="1207">
                  <c:v>46038</c:v>
                </c:pt>
                <c:pt idx="1208">
                  <c:v>46041</c:v>
                </c:pt>
                <c:pt idx="1209">
                  <c:v>46042</c:v>
                </c:pt>
                <c:pt idx="1210">
                  <c:v>46043</c:v>
                </c:pt>
                <c:pt idx="1211">
                  <c:v>46044</c:v>
                </c:pt>
                <c:pt idx="1212">
                  <c:v>46045</c:v>
                </c:pt>
                <c:pt idx="1213">
                  <c:v>46049</c:v>
                </c:pt>
                <c:pt idx="1214">
                  <c:v>46050</c:v>
                </c:pt>
                <c:pt idx="1215">
                  <c:v>46051</c:v>
                </c:pt>
                <c:pt idx="1216">
                  <c:v>46052</c:v>
                </c:pt>
                <c:pt idx="1217">
                  <c:v>46054</c:v>
                </c:pt>
                <c:pt idx="1218">
                  <c:v>46055</c:v>
                </c:pt>
                <c:pt idx="1219">
                  <c:v>46056</c:v>
                </c:pt>
                <c:pt idx="1220">
                  <c:v>46057</c:v>
                </c:pt>
                <c:pt idx="1221">
                  <c:v>46058</c:v>
                </c:pt>
                <c:pt idx="1222">
                  <c:v>46059</c:v>
                </c:pt>
                <c:pt idx="1223">
                  <c:v>46062</c:v>
                </c:pt>
                <c:pt idx="1224">
                  <c:v>46063</c:v>
                </c:pt>
                <c:pt idx="1225">
                  <c:v>46064</c:v>
                </c:pt>
                <c:pt idx="1226">
                  <c:v>46065</c:v>
                </c:pt>
                <c:pt idx="1227">
                  <c:v>46066</c:v>
                </c:pt>
                <c:pt idx="1228">
                  <c:v>46069</c:v>
                </c:pt>
                <c:pt idx="1229">
                  <c:v>46070</c:v>
                </c:pt>
                <c:pt idx="1230">
                  <c:v>46071</c:v>
                </c:pt>
                <c:pt idx="1231">
                  <c:v>46072</c:v>
                </c:pt>
                <c:pt idx="1232">
                  <c:v>46073</c:v>
                </c:pt>
                <c:pt idx="1233">
                  <c:v>46076</c:v>
                </c:pt>
                <c:pt idx="1234">
                  <c:v>46077</c:v>
                </c:pt>
                <c:pt idx="1235">
                  <c:v>46078</c:v>
                </c:pt>
                <c:pt idx="1236">
                  <c:v>46079</c:v>
                </c:pt>
                <c:pt idx="1237">
                  <c:v>46080</c:v>
                </c:pt>
                <c:pt idx="1238">
                  <c:v>46083</c:v>
                </c:pt>
                <c:pt idx="1239">
                  <c:v>46085</c:v>
                </c:pt>
              </c:numCache>
            </c:numRef>
          </c:cat>
          <c:val>
            <c:numRef>
              <c:f>'Raw Data'!$C$3:$C$1242</c:f>
              <c:numCache>
                <c:formatCode>General</c:formatCode>
                <c:ptCount val="1240"/>
                <c:pt idx="0">
                  <c:v>2.29</c:v>
                </c:pt>
                <c:pt idx="1">
                  <c:v>2.13</c:v>
                </c:pt>
                <c:pt idx="2">
                  <c:v>1.44</c:v>
                </c:pt>
                <c:pt idx="3">
                  <c:v>1.71</c:v>
                </c:pt>
                <c:pt idx="4">
                  <c:v>2.7</c:v>
                </c:pt>
                <c:pt idx="5">
                  <c:v>2.04</c:v>
                </c:pt>
                <c:pt idx="6">
                  <c:v>1.63</c:v>
                </c:pt>
                <c:pt idx="7">
                  <c:v>2.63</c:v>
                </c:pt>
                <c:pt idx="8">
                  <c:v>3.7</c:v>
                </c:pt>
                <c:pt idx="9">
                  <c:v>2.6</c:v>
                </c:pt>
                <c:pt idx="10">
                  <c:v>5.38</c:v>
                </c:pt>
                <c:pt idx="11">
                  <c:v>2.4700000000000002</c:v>
                </c:pt>
                <c:pt idx="12">
                  <c:v>1.97</c:v>
                </c:pt>
                <c:pt idx="13">
                  <c:v>1.76</c:v>
                </c:pt>
                <c:pt idx="14">
                  <c:v>2.5</c:v>
                </c:pt>
                <c:pt idx="15">
                  <c:v>1.93</c:v>
                </c:pt>
                <c:pt idx="16">
                  <c:v>3.33</c:v>
                </c:pt>
                <c:pt idx="17">
                  <c:v>2.71</c:v>
                </c:pt>
                <c:pt idx="18">
                  <c:v>1.53</c:v>
                </c:pt>
                <c:pt idx="19">
                  <c:v>2.5499999999999998</c:v>
                </c:pt>
                <c:pt idx="20">
                  <c:v>3.68</c:v>
                </c:pt>
                <c:pt idx="21">
                  <c:v>1.71</c:v>
                </c:pt>
                <c:pt idx="22">
                  <c:v>1.81</c:v>
                </c:pt>
                <c:pt idx="23">
                  <c:v>2.6</c:v>
                </c:pt>
                <c:pt idx="24">
                  <c:v>2.2599999999999998</c:v>
                </c:pt>
                <c:pt idx="25">
                  <c:v>1.81</c:v>
                </c:pt>
                <c:pt idx="26">
                  <c:v>3.35</c:v>
                </c:pt>
                <c:pt idx="27">
                  <c:v>1.23</c:v>
                </c:pt>
                <c:pt idx="28">
                  <c:v>1.75</c:v>
                </c:pt>
                <c:pt idx="29">
                  <c:v>1.59</c:v>
                </c:pt>
                <c:pt idx="30">
                  <c:v>1.72</c:v>
                </c:pt>
                <c:pt idx="31">
                  <c:v>1.95</c:v>
                </c:pt>
                <c:pt idx="32">
                  <c:v>1.95</c:v>
                </c:pt>
                <c:pt idx="33">
                  <c:v>1.67</c:v>
                </c:pt>
                <c:pt idx="34">
                  <c:v>1.95</c:v>
                </c:pt>
                <c:pt idx="35">
                  <c:v>3.15</c:v>
                </c:pt>
                <c:pt idx="36">
                  <c:v>4.01</c:v>
                </c:pt>
                <c:pt idx="37">
                  <c:v>1.69</c:v>
                </c:pt>
                <c:pt idx="38">
                  <c:v>1.45</c:v>
                </c:pt>
                <c:pt idx="39">
                  <c:v>1.26</c:v>
                </c:pt>
                <c:pt idx="40">
                  <c:v>1.38</c:v>
                </c:pt>
                <c:pt idx="41">
                  <c:v>1.17</c:v>
                </c:pt>
                <c:pt idx="42">
                  <c:v>0.98850000000000005</c:v>
                </c:pt>
                <c:pt idx="43">
                  <c:v>1.02</c:v>
                </c:pt>
                <c:pt idx="44">
                  <c:v>2.0499999999999998</c:v>
                </c:pt>
                <c:pt idx="45">
                  <c:v>1.39</c:v>
                </c:pt>
                <c:pt idx="46">
                  <c:v>0.81123999999999996</c:v>
                </c:pt>
                <c:pt idx="47">
                  <c:v>1.1499999999999999</c:v>
                </c:pt>
                <c:pt idx="48">
                  <c:v>1.32</c:v>
                </c:pt>
                <c:pt idx="49">
                  <c:v>0.85624</c:v>
                </c:pt>
                <c:pt idx="50">
                  <c:v>0.77149000000000001</c:v>
                </c:pt>
                <c:pt idx="51">
                  <c:v>1.19</c:v>
                </c:pt>
                <c:pt idx="52">
                  <c:v>1.1000000000000001</c:v>
                </c:pt>
                <c:pt idx="53">
                  <c:v>0.81110000000000004</c:v>
                </c:pt>
                <c:pt idx="54">
                  <c:v>3.76</c:v>
                </c:pt>
                <c:pt idx="55">
                  <c:v>1.22</c:v>
                </c:pt>
                <c:pt idx="56">
                  <c:v>1.18</c:v>
                </c:pt>
                <c:pt idx="57">
                  <c:v>1.1399999999999999</c:v>
                </c:pt>
                <c:pt idx="58">
                  <c:v>1.1100000000000001</c:v>
                </c:pt>
                <c:pt idx="59">
                  <c:v>0.86853000000000002</c:v>
                </c:pt>
                <c:pt idx="60">
                  <c:v>1.28</c:v>
                </c:pt>
                <c:pt idx="61">
                  <c:v>1.1299999999999999</c:v>
                </c:pt>
                <c:pt idx="62">
                  <c:v>1.1100000000000001</c:v>
                </c:pt>
                <c:pt idx="63">
                  <c:v>1.07</c:v>
                </c:pt>
                <c:pt idx="64">
                  <c:v>1.94</c:v>
                </c:pt>
                <c:pt idx="65">
                  <c:v>1.1299999999999999</c:v>
                </c:pt>
                <c:pt idx="66">
                  <c:v>1.76</c:v>
                </c:pt>
                <c:pt idx="67">
                  <c:v>1.22</c:v>
                </c:pt>
                <c:pt idx="68">
                  <c:v>2.15</c:v>
                </c:pt>
                <c:pt idx="69">
                  <c:v>1.56</c:v>
                </c:pt>
                <c:pt idx="70">
                  <c:v>3.94</c:v>
                </c:pt>
                <c:pt idx="71">
                  <c:v>2.5099999999999998</c:v>
                </c:pt>
                <c:pt idx="72">
                  <c:v>1.95</c:v>
                </c:pt>
                <c:pt idx="73">
                  <c:v>1.04</c:v>
                </c:pt>
                <c:pt idx="74">
                  <c:v>0.75968000000000002</c:v>
                </c:pt>
                <c:pt idx="75">
                  <c:v>1.1100000000000001</c:v>
                </c:pt>
                <c:pt idx="76">
                  <c:v>0.69491000000000003</c:v>
                </c:pt>
                <c:pt idx="77">
                  <c:v>1.35</c:v>
                </c:pt>
                <c:pt idx="78">
                  <c:v>1.45</c:v>
                </c:pt>
                <c:pt idx="79">
                  <c:v>0.73504000000000003</c:v>
                </c:pt>
                <c:pt idx="80">
                  <c:v>0.86023000000000005</c:v>
                </c:pt>
                <c:pt idx="81">
                  <c:v>0.76170000000000004</c:v>
                </c:pt>
                <c:pt idx="82">
                  <c:v>0.46178000000000002</c:v>
                </c:pt>
                <c:pt idx="83">
                  <c:v>0.62314999999999998</c:v>
                </c:pt>
                <c:pt idx="84">
                  <c:v>1.1100000000000001</c:v>
                </c:pt>
                <c:pt idx="85">
                  <c:v>0.53808999999999996</c:v>
                </c:pt>
                <c:pt idx="86">
                  <c:v>0.54390000000000005</c:v>
                </c:pt>
                <c:pt idx="87">
                  <c:v>0.99439999999999995</c:v>
                </c:pt>
                <c:pt idx="88">
                  <c:v>1.38</c:v>
                </c:pt>
                <c:pt idx="89">
                  <c:v>0.69379000000000002</c:v>
                </c:pt>
                <c:pt idx="90">
                  <c:v>0.54540999999999995</c:v>
                </c:pt>
                <c:pt idx="91">
                  <c:v>0.46387</c:v>
                </c:pt>
                <c:pt idx="92">
                  <c:v>1.06</c:v>
                </c:pt>
                <c:pt idx="93">
                  <c:v>3.55</c:v>
                </c:pt>
                <c:pt idx="94">
                  <c:v>1.52</c:v>
                </c:pt>
                <c:pt idx="95">
                  <c:v>1.31</c:v>
                </c:pt>
                <c:pt idx="96">
                  <c:v>1.66</c:v>
                </c:pt>
                <c:pt idx="97">
                  <c:v>0.91237000000000001</c:v>
                </c:pt>
                <c:pt idx="98">
                  <c:v>1.01</c:v>
                </c:pt>
                <c:pt idx="99">
                  <c:v>1.71</c:v>
                </c:pt>
                <c:pt idx="100">
                  <c:v>1.23</c:v>
                </c:pt>
                <c:pt idx="101">
                  <c:v>1.73</c:v>
                </c:pt>
                <c:pt idx="102">
                  <c:v>1.59</c:v>
                </c:pt>
                <c:pt idx="103">
                  <c:v>0.92176000000000002</c:v>
                </c:pt>
                <c:pt idx="104">
                  <c:v>1.43</c:v>
                </c:pt>
                <c:pt idx="105">
                  <c:v>0.92147999999999997</c:v>
                </c:pt>
                <c:pt idx="106">
                  <c:v>1.06</c:v>
                </c:pt>
                <c:pt idx="107">
                  <c:v>1.3</c:v>
                </c:pt>
                <c:pt idx="108">
                  <c:v>1.23</c:v>
                </c:pt>
                <c:pt idx="109">
                  <c:v>1.03</c:v>
                </c:pt>
                <c:pt idx="110">
                  <c:v>1.1499999999999999</c:v>
                </c:pt>
                <c:pt idx="111">
                  <c:v>1.92</c:v>
                </c:pt>
                <c:pt idx="112">
                  <c:v>1.55</c:v>
                </c:pt>
                <c:pt idx="113">
                  <c:v>5.78</c:v>
                </c:pt>
                <c:pt idx="114">
                  <c:v>2.16</c:v>
                </c:pt>
                <c:pt idx="115">
                  <c:v>1.48</c:v>
                </c:pt>
                <c:pt idx="116">
                  <c:v>1.75</c:v>
                </c:pt>
                <c:pt idx="117">
                  <c:v>2.12</c:v>
                </c:pt>
                <c:pt idx="118">
                  <c:v>1.18</c:v>
                </c:pt>
                <c:pt idx="119">
                  <c:v>1.17</c:v>
                </c:pt>
                <c:pt idx="120">
                  <c:v>2.54</c:v>
                </c:pt>
                <c:pt idx="121">
                  <c:v>1.78</c:v>
                </c:pt>
                <c:pt idx="122">
                  <c:v>1.95</c:v>
                </c:pt>
                <c:pt idx="123">
                  <c:v>1.56</c:v>
                </c:pt>
                <c:pt idx="124">
                  <c:v>1.44</c:v>
                </c:pt>
                <c:pt idx="125">
                  <c:v>1.22</c:v>
                </c:pt>
                <c:pt idx="126">
                  <c:v>0.94671000000000005</c:v>
                </c:pt>
                <c:pt idx="127">
                  <c:v>0.87944999999999995</c:v>
                </c:pt>
                <c:pt idx="128">
                  <c:v>1.34</c:v>
                </c:pt>
                <c:pt idx="129">
                  <c:v>1.76</c:v>
                </c:pt>
                <c:pt idx="130">
                  <c:v>1.36</c:v>
                </c:pt>
                <c:pt idx="131">
                  <c:v>1.26</c:v>
                </c:pt>
                <c:pt idx="132">
                  <c:v>3.1</c:v>
                </c:pt>
                <c:pt idx="133">
                  <c:v>2.67</c:v>
                </c:pt>
                <c:pt idx="134">
                  <c:v>2.2799999999999998</c:v>
                </c:pt>
                <c:pt idx="135">
                  <c:v>1.58</c:v>
                </c:pt>
                <c:pt idx="136">
                  <c:v>1.05</c:v>
                </c:pt>
                <c:pt idx="137">
                  <c:v>1.64</c:v>
                </c:pt>
                <c:pt idx="138">
                  <c:v>1.47</c:v>
                </c:pt>
                <c:pt idx="139">
                  <c:v>1.08</c:v>
                </c:pt>
                <c:pt idx="140">
                  <c:v>1.5</c:v>
                </c:pt>
                <c:pt idx="141">
                  <c:v>1.62</c:v>
                </c:pt>
                <c:pt idx="142">
                  <c:v>0.95611000000000002</c:v>
                </c:pt>
                <c:pt idx="143">
                  <c:v>1.03</c:v>
                </c:pt>
                <c:pt idx="144">
                  <c:v>0.56277999999999995</c:v>
                </c:pt>
                <c:pt idx="145">
                  <c:v>0.86246999999999996</c:v>
                </c:pt>
                <c:pt idx="146">
                  <c:v>1.08</c:v>
                </c:pt>
                <c:pt idx="147">
                  <c:v>1.58</c:v>
                </c:pt>
                <c:pt idx="148">
                  <c:v>1.0900000000000001</c:v>
                </c:pt>
                <c:pt idx="149">
                  <c:v>1.17</c:v>
                </c:pt>
                <c:pt idx="150">
                  <c:v>1.66</c:v>
                </c:pt>
                <c:pt idx="151">
                  <c:v>2.16</c:v>
                </c:pt>
                <c:pt idx="152">
                  <c:v>1.76</c:v>
                </c:pt>
                <c:pt idx="153">
                  <c:v>5.43</c:v>
                </c:pt>
                <c:pt idx="154">
                  <c:v>4.8600000000000003</c:v>
                </c:pt>
                <c:pt idx="155">
                  <c:v>3.25</c:v>
                </c:pt>
                <c:pt idx="156">
                  <c:v>1.85</c:v>
                </c:pt>
                <c:pt idx="157">
                  <c:v>1.56</c:v>
                </c:pt>
                <c:pt idx="158">
                  <c:v>1.6</c:v>
                </c:pt>
                <c:pt idx="159">
                  <c:v>3.08</c:v>
                </c:pt>
                <c:pt idx="160">
                  <c:v>2.02</c:v>
                </c:pt>
                <c:pt idx="161">
                  <c:v>2.4500000000000002</c:v>
                </c:pt>
                <c:pt idx="162">
                  <c:v>1.94</c:v>
                </c:pt>
                <c:pt idx="163">
                  <c:v>1.35</c:v>
                </c:pt>
                <c:pt idx="164">
                  <c:v>1.59</c:v>
                </c:pt>
                <c:pt idx="165">
                  <c:v>0.24571999999999999</c:v>
                </c:pt>
                <c:pt idx="166">
                  <c:v>2.56</c:v>
                </c:pt>
                <c:pt idx="167">
                  <c:v>1.7</c:v>
                </c:pt>
                <c:pt idx="168">
                  <c:v>1.79</c:v>
                </c:pt>
                <c:pt idx="169">
                  <c:v>1.28</c:v>
                </c:pt>
                <c:pt idx="170">
                  <c:v>1.65</c:v>
                </c:pt>
                <c:pt idx="171">
                  <c:v>1.01</c:v>
                </c:pt>
                <c:pt idx="172">
                  <c:v>1.25</c:v>
                </c:pt>
                <c:pt idx="173">
                  <c:v>0.95681000000000005</c:v>
                </c:pt>
                <c:pt idx="174">
                  <c:v>1.24</c:v>
                </c:pt>
                <c:pt idx="175">
                  <c:v>1.63</c:v>
                </c:pt>
                <c:pt idx="176">
                  <c:v>1.93</c:v>
                </c:pt>
                <c:pt idx="177">
                  <c:v>0.99907000000000001</c:v>
                </c:pt>
                <c:pt idx="178">
                  <c:v>1.36</c:v>
                </c:pt>
                <c:pt idx="179">
                  <c:v>2.4500000000000002</c:v>
                </c:pt>
                <c:pt idx="180">
                  <c:v>1.72</c:v>
                </c:pt>
                <c:pt idx="181">
                  <c:v>3.93</c:v>
                </c:pt>
                <c:pt idx="182">
                  <c:v>1.26</c:v>
                </c:pt>
                <c:pt idx="183">
                  <c:v>1.67</c:v>
                </c:pt>
                <c:pt idx="184">
                  <c:v>1.89</c:v>
                </c:pt>
                <c:pt idx="185">
                  <c:v>1.08</c:v>
                </c:pt>
                <c:pt idx="186">
                  <c:v>0.89531000000000005</c:v>
                </c:pt>
                <c:pt idx="187">
                  <c:v>0.83977000000000002</c:v>
                </c:pt>
                <c:pt idx="188">
                  <c:v>0.71667000000000003</c:v>
                </c:pt>
                <c:pt idx="189">
                  <c:v>0.72453999999999996</c:v>
                </c:pt>
                <c:pt idx="190">
                  <c:v>1.8</c:v>
                </c:pt>
                <c:pt idx="191">
                  <c:v>1.22</c:v>
                </c:pt>
                <c:pt idx="192">
                  <c:v>0.75512000000000001</c:v>
                </c:pt>
                <c:pt idx="193">
                  <c:v>0.92649000000000004</c:v>
                </c:pt>
                <c:pt idx="194">
                  <c:v>2.44</c:v>
                </c:pt>
                <c:pt idx="195">
                  <c:v>2.1800000000000002</c:v>
                </c:pt>
                <c:pt idx="196">
                  <c:v>1.59</c:v>
                </c:pt>
                <c:pt idx="197">
                  <c:v>1.66</c:v>
                </c:pt>
                <c:pt idx="198">
                  <c:v>1.42</c:v>
                </c:pt>
                <c:pt idx="199">
                  <c:v>0.89549999999999996</c:v>
                </c:pt>
                <c:pt idx="200">
                  <c:v>0.58430000000000004</c:v>
                </c:pt>
                <c:pt idx="201">
                  <c:v>0.78371000000000002</c:v>
                </c:pt>
                <c:pt idx="202">
                  <c:v>1.41</c:v>
                </c:pt>
                <c:pt idx="203">
                  <c:v>0.96370999999999996</c:v>
                </c:pt>
                <c:pt idx="204">
                  <c:v>1.1200000000000001</c:v>
                </c:pt>
                <c:pt idx="205">
                  <c:v>0.87927999999999995</c:v>
                </c:pt>
                <c:pt idx="206">
                  <c:v>1.48</c:v>
                </c:pt>
                <c:pt idx="207">
                  <c:v>1.2</c:v>
                </c:pt>
                <c:pt idx="208">
                  <c:v>1.2</c:v>
                </c:pt>
                <c:pt idx="209">
                  <c:v>1.03</c:v>
                </c:pt>
                <c:pt idx="210">
                  <c:v>0.91944999999999999</c:v>
                </c:pt>
                <c:pt idx="211">
                  <c:v>1.32</c:v>
                </c:pt>
                <c:pt idx="212">
                  <c:v>1.49</c:v>
                </c:pt>
                <c:pt idx="213">
                  <c:v>1.59</c:v>
                </c:pt>
                <c:pt idx="214">
                  <c:v>1.6</c:v>
                </c:pt>
                <c:pt idx="215">
                  <c:v>0.91220999999999997</c:v>
                </c:pt>
                <c:pt idx="216">
                  <c:v>1.67</c:v>
                </c:pt>
                <c:pt idx="217">
                  <c:v>2.15</c:v>
                </c:pt>
                <c:pt idx="218">
                  <c:v>2.83</c:v>
                </c:pt>
                <c:pt idx="219">
                  <c:v>4.5999999999999996</c:v>
                </c:pt>
                <c:pt idx="220">
                  <c:v>2.23</c:v>
                </c:pt>
                <c:pt idx="221">
                  <c:v>1.84</c:v>
                </c:pt>
                <c:pt idx="222">
                  <c:v>2.62</c:v>
                </c:pt>
                <c:pt idx="223">
                  <c:v>1.97</c:v>
                </c:pt>
                <c:pt idx="224">
                  <c:v>1.64</c:v>
                </c:pt>
                <c:pt idx="225">
                  <c:v>1.27</c:v>
                </c:pt>
                <c:pt idx="226">
                  <c:v>1.25</c:v>
                </c:pt>
                <c:pt idx="227">
                  <c:v>1.45</c:v>
                </c:pt>
                <c:pt idx="228">
                  <c:v>1.01</c:v>
                </c:pt>
                <c:pt idx="229">
                  <c:v>1.21</c:v>
                </c:pt>
                <c:pt idx="230">
                  <c:v>1.19</c:v>
                </c:pt>
                <c:pt idx="231">
                  <c:v>1.05</c:v>
                </c:pt>
                <c:pt idx="232">
                  <c:v>1.2</c:v>
                </c:pt>
                <c:pt idx="233">
                  <c:v>2.1</c:v>
                </c:pt>
                <c:pt idx="234">
                  <c:v>1.66</c:v>
                </c:pt>
                <c:pt idx="235">
                  <c:v>1.53</c:v>
                </c:pt>
                <c:pt idx="236">
                  <c:v>0.99567000000000005</c:v>
                </c:pt>
                <c:pt idx="237">
                  <c:v>0.86936999999999998</c:v>
                </c:pt>
                <c:pt idx="238">
                  <c:v>0.89071</c:v>
                </c:pt>
                <c:pt idx="239">
                  <c:v>0.73792000000000002</c:v>
                </c:pt>
                <c:pt idx="240">
                  <c:v>0.90266999999999997</c:v>
                </c:pt>
                <c:pt idx="241">
                  <c:v>1.32</c:v>
                </c:pt>
                <c:pt idx="242">
                  <c:v>3</c:v>
                </c:pt>
                <c:pt idx="243">
                  <c:v>2.19</c:v>
                </c:pt>
                <c:pt idx="244">
                  <c:v>2.33</c:v>
                </c:pt>
                <c:pt idx="245">
                  <c:v>2.0299999999999998</c:v>
                </c:pt>
                <c:pt idx="246">
                  <c:v>2.37</c:v>
                </c:pt>
                <c:pt idx="247">
                  <c:v>6.32</c:v>
                </c:pt>
                <c:pt idx="248">
                  <c:v>2.98</c:v>
                </c:pt>
                <c:pt idx="249">
                  <c:v>3.21</c:v>
                </c:pt>
                <c:pt idx="250">
                  <c:v>2.88</c:v>
                </c:pt>
                <c:pt idx="251">
                  <c:v>4.88</c:v>
                </c:pt>
                <c:pt idx="252">
                  <c:v>2.48</c:v>
                </c:pt>
                <c:pt idx="253">
                  <c:v>1.73</c:v>
                </c:pt>
                <c:pt idx="254">
                  <c:v>2.39</c:v>
                </c:pt>
                <c:pt idx="255">
                  <c:v>2.81</c:v>
                </c:pt>
                <c:pt idx="256">
                  <c:v>3</c:v>
                </c:pt>
                <c:pt idx="257">
                  <c:v>1.67</c:v>
                </c:pt>
                <c:pt idx="258">
                  <c:v>5.36</c:v>
                </c:pt>
                <c:pt idx="259">
                  <c:v>3.21</c:v>
                </c:pt>
                <c:pt idx="260">
                  <c:v>3.05</c:v>
                </c:pt>
                <c:pt idx="261">
                  <c:v>2.23</c:v>
                </c:pt>
                <c:pt idx="262">
                  <c:v>1.79</c:v>
                </c:pt>
                <c:pt idx="263">
                  <c:v>1.25</c:v>
                </c:pt>
                <c:pt idx="264">
                  <c:v>1.48</c:v>
                </c:pt>
                <c:pt idx="265">
                  <c:v>2.54</c:v>
                </c:pt>
                <c:pt idx="266">
                  <c:v>1.71</c:v>
                </c:pt>
                <c:pt idx="267">
                  <c:v>1.69</c:v>
                </c:pt>
                <c:pt idx="268">
                  <c:v>1.28</c:v>
                </c:pt>
                <c:pt idx="269">
                  <c:v>1.74</c:v>
                </c:pt>
                <c:pt idx="270">
                  <c:v>1.82</c:v>
                </c:pt>
                <c:pt idx="271">
                  <c:v>1.69</c:v>
                </c:pt>
                <c:pt idx="272">
                  <c:v>1.38</c:v>
                </c:pt>
                <c:pt idx="273">
                  <c:v>1.37</c:v>
                </c:pt>
                <c:pt idx="274">
                  <c:v>1.07</c:v>
                </c:pt>
                <c:pt idx="275">
                  <c:v>1.83</c:v>
                </c:pt>
                <c:pt idx="276">
                  <c:v>1.78</c:v>
                </c:pt>
                <c:pt idx="277">
                  <c:v>1.51</c:v>
                </c:pt>
                <c:pt idx="278">
                  <c:v>2.2400000000000002</c:v>
                </c:pt>
                <c:pt idx="279">
                  <c:v>3.52</c:v>
                </c:pt>
                <c:pt idx="280">
                  <c:v>2.44</c:v>
                </c:pt>
                <c:pt idx="281">
                  <c:v>1.45</c:v>
                </c:pt>
                <c:pt idx="282">
                  <c:v>2.21</c:v>
                </c:pt>
                <c:pt idx="283">
                  <c:v>5.87</c:v>
                </c:pt>
                <c:pt idx="284">
                  <c:v>2.68</c:v>
                </c:pt>
                <c:pt idx="285">
                  <c:v>1.54</c:v>
                </c:pt>
                <c:pt idx="286">
                  <c:v>1.61</c:v>
                </c:pt>
                <c:pt idx="287">
                  <c:v>1.1000000000000001</c:v>
                </c:pt>
                <c:pt idx="288">
                  <c:v>1.59</c:v>
                </c:pt>
                <c:pt idx="289">
                  <c:v>1.34</c:v>
                </c:pt>
                <c:pt idx="290">
                  <c:v>2.16</c:v>
                </c:pt>
                <c:pt idx="291">
                  <c:v>1.86</c:v>
                </c:pt>
                <c:pt idx="292">
                  <c:v>1.53</c:v>
                </c:pt>
                <c:pt idx="293">
                  <c:v>2.06</c:v>
                </c:pt>
                <c:pt idx="294">
                  <c:v>1.4</c:v>
                </c:pt>
                <c:pt idx="295">
                  <c:v>2.06</c:v>
                </c:pt>
                <c:pt idx="296">
                  <c:v>2.14</c:v>
                </c:pt>
                <c:pt idx="297">
                  <c:v>1.73</c:v>
                </c:pt>
                <c:pt idx="298">
                  <c:v>2.6</c:v>
                </c:pt>
                <c:pt idx="299">
                  <c:v>2.36</c:v>
                </c:pt>
                <c:pt idx="300">
                  <c:v>3.08</c:v>
                </c:pt>
                <c:pt idx="301">
                  <c:v>1.88</c:v>
                </c:pt>
                <c:pt idx="302">
                  <c:v>2.2999999999999998</c:v>
                </c:pt>
                <c:pt idx="303">
                  <c:v>1.01</c:v>
                </c:pt>
                <c:pt idx="304">
                  <c:v>0.93955999999999995</c:v>
                </c:pt>
                <c:pt idx="305">
                  <c:v>3.12</c:v>
                </c:pt>
                <c:pt idx="306">
                  <c:v>2.2000000000000002</c:v>
                </c:pt>
                <c:pt idx="307">
                  <c:v>1.46</c:v>
                </c:pt>
                <c:pt idx="308">
                  <c:v>1.85</c:v>
                </c:pt>
                <c:pt idx="309">
                  <c:v>2.13</c:v>
                </c:pt>
                <c:pt idx="310">
                  <c:v>2.0299999999999998</c:v>
                </c:pt>
                <c:pt idx="311">
                  <c:v>1.51</c:v>
                </c:pt>
                <c:pt idx="312">
                  <c:v>1.5</c:v>
                </c:pt>
                <c:pt idx="313">
                  <c:v>1.64</c:v>
                </c:pt>
                <c:pt idx="314">
                  <c:v>1.52</c:v>
                </c:pt>
                <c:pt idx="315">
                  <c:v>1.59</c:v>
                </c:pt>
                <c:pt idx="316">
                  <c:v>1.43</c:v>
                </c:pt>
                <c:pt idx="317">
                  <c:v>1.35</c:v>
                </c:pt>
                <c:pt idx="318">
                  <c:v>3.25</c:v>
                </c:pt>
                <c:pt idx="319">
                  <c:v>2.02</c:v>
                </c:pt>
                <c:pt idx="320">
                  <c:v>1.61</c:v>
                </c:pt>
                <c:pt idx="321">
                  <c:v>1.74</c:v>
                </c:pt>
                <c:pt idx="322">
                  <c:v>1.59</c:v>
                </c:pt>
                <c:pt idx="323">
                  <c:v>1.93</c:v>
                </c:pt>
                <c:pt idx="324">
                  <c:v>1.45</c:v>
                </c:pt>
                <c:pt idx="325">
                  <c:v>1.4</c:v>
                </c:pt>
                <c:pt idx="326">
                  <c:v>1.68</c:v>
                </c:pt>
                <c:pt idx="327">
                  <c:v>2.39</c:v>
                </c:pt>
                <c:pt idx="328">
                  <c:v>1.24</c:v>
                </c:pt>
                <c:pt idx="329">
                  <c:v>2.41</c:v>
                </c:pt>
                <c:pt idx="330">
                  <c:v>2.46</c:v>
                </c:pt>
                <c:pt idx="331">
                  <c:v>4.7699999999999996</c:v>
                </c:pt>
                <c:pt idx="332">
                  <c:v>3.33</c:v>
                </c:pt>
                <c:pt idx="333">
                  <c:v>1.35</c:v>
                </c:pt>
                <c:pt idx="334">
                  <c:v>1.59</c:v>
                </c:pt>
                <c:pt idx="335">
                  <c:v>1.1200000000000001</c:v>
                </c:pt>
                <c:pt idx="336">
                  <c:v>2.5299999999999998</c:v>
                </c:pt>
                <c:pt idx="337">
                  <c:v>1.66</c:v>
                </c:pt>
                <c:pt idx="338">
                  <c:v>3</c:v>
                </c:pt>
                <c:pt idx="339">
                  <c:v>1.57</c:v>
                </c:pt>
                <c:pt idx="340">
                  <c:v>1.47</c:v>
                </c:pt>
                <c:pt idx="341">
                  <c:v>4.01</c:v>
                </c:pt>
                <c:pt idx="342">
                  <c:v>1.99</c:v>
                </c:pt>
                <c:pt idx="343">
                  <c:v>1.91</c:v>
                </c:pt>
                <c:pt idx="344">
                  <c:v>1.25</c:v>
                </c:pt>
                <c:pt idx="345">
                  <c:v>1.69</c:v>
                </c:pt>
                <c:pt idx="346">
                  <c:v>1.4</c:v>
                </c:pt>
                <c:pt idx="347">
                  <c:v>1.44</c:v>
                </c:pt>
                <c:pt idx="348">
                  <c:v>1.46</c:v>
                </c:pt>
                <c:pt idx="349">
                  <c:v>1.56</c:v>
                </c:pt>
                <c:pt idx="350">
                  <c:v>1.36</c:v>
                </c:pt>
                <c:pt idx="351">
                  <c:v>1.77</c:v>
                </c:pt>
                <c:pt idx="352">
                  <c:v>1.19</c:v>
                </c:pt>
                <c:pt idx="353">
                  <c:v>1.18</c:v>
                </c:pt>
                <c:pt idx="354">
                  <c:v>1.02</c:v>
                </c:pt>
                <c:pt idx="355">
                  <c:v>1.1000000000000001</c:v>
                </c:pt>
                <c:pt idx="356">
                  <c:v>0.81067</c:v>
                </c:pt>
                <c:pt idx="357">
                  <c:v>1.47</c:v>
                </c:pt>
                <c:pt idx="358">
                  <c:v>1.58</c:v>
                </c:pt>
                <c:pt idx="359">
                  <c:v>1.71</c:v>
                </c:pt>
                <c:pt idx="360">
                  <c:v>1.47</c:v>
                </c:pt>
                <c:pt idx="361">
                  <c:v>1.32</c:v>
                </c:pt>
                <c:pt idx="362">
                  <c:v>1.41</c:v>
                </c:pt>
                <c:pt idx="363">
                  <c:v>1.31</c:v>
                </c:pt>
                <c:pt idx="364">
                  <c:v>1.24</c:v>
                </c:pt>
                <c:pt idx="365">
                  <c:v>1.1100000000000001</c:v>
                </c:pt>
                <c:pt idx="366">
                  <c:v>1.05</c:v>
                </c:pt>
                <c:pt idx="367">
                  <c:v>1.45</c:v>
                </c:pt>
                <c:pt idx="368">
                  <c:v>2.23</c:v>
                </c:pt>
                <c:pt idx="369">
                  <c:v>1.7</c:v>
                </c:pt>
                <c:pt idx="370">
                  <c:v>0.93759999999999999</c:v>
                </c:pt>
                <c:pt idx="371">
                  <c:v>1.27</c:v>
                </c:pt>
                <c:pt idx="372">
                  <c:v>1.25</c:v>
                </c:pt>
                <c:pt idx="373">
                  <c:v>1.34</c:v>
                </c:pt>
                <c:pt idx="374">
                  <c:v>1</c:v>
                </c:pt>
                <c:pt idx="375">
                  <c:v>1.79</c:v>
                </c:pt>
                <c:pt idx="376">
                  <c:v>1.6</c:v>
                </c:pt>
                <c:pt idx="377">
                  <c:v>1.34</c:v>
                </c:pt>
                <c:pt idx="378">
                  <c:v>1.61</c:v>
                </c:pt>
                <c:pt idx="379">
                  <c:v>1.2</c:v>
                </c:pt>
                <c:pt idx="380">
                  <c:v>2.52</c:v>
                </c:pt>
                <c:pt idx="381">
                  <c:v>1.17</c:v>
                </c:pt>
                <c:pt idx="382">
                  <c:v>1.25</c:v>
                </c:pt>
                <c:pt idx="383">
                  <c:v>1.96</c:v>
                </c:pt>
                <c:pt idx="384">
                  <c:v>2.62</c:v>
                </c:pt>
                <c:pt idx="385">
                  <c:v>1.79</c:v>
                </c:pt>
                <c:pt idx="386">
                  <c:v>2.68</c:v>
                </c:pt>
                <c:pt idx="387">
                  <c:v>1.9</c:v>
                </c:pt>
                <c:pt idx="388">
                  <c:v>1.53</c:v>
                </c:pt>
                <c:pt idx="389">
                  <c:v>2.02</c:v>
                </c:pt>
                <c:pt idx="390">
                  <c:v>1.34</c:v>
                </c:pt>
                <c:pt idx="391">
                  <c:v>1.68</c:v>
                </c:pt>
                <c:pt idx="392">
                  <c:v>1.33</c:v>
                </c:pt>
                <c:pt idx="393">
                  <c:v>1.75</c:v>
                </c:pt>
                <c:pt idx="394">
                  <c:v>1.03</c:v>
                </c:pt>
                <c:pt idx="395">
                  <c:v>1.04</c:v>
                </c:pt>
                <c:pt idx="396">
                  <c:v>1.1299999999999999</c:v>
                </c:pt>
                <c:pt idx="397">
                  <c:v>0.88287000000000004</c:v>
                </c:pt>
                <c:pt idx="398">
                  <c:v>0.75333000000000006</c:v>
                </c:pt>
                <c:pt idx="399">
                  <c:v>1</c:v>
                </c:pt>
                <c:pt idx="400">
                  <c:v>0.77891999999999995</c:v>
                </c:pt>
                <c:pt idx="401">
                  <c:v>1.1200000000000001</c:v>
                </c:pt>
                <c:pt idx="402">
                  <c:v>1.24</c:v>
                </c:pt>
                <c:pt idx="403">
                  <c:v>1.43</c:v>
                </c:pt>
                <c:pt idx="404">
                  <c:v>2.46</c:v>
                </c:pt>
                <c:pt idx="405">
                  <c:v>0.71991000000000005</c:v>
                </c:pt>
                <c:pt idx="406">
                  <c:v>2.92</c:v>
                </c:pt>
                <c:pt idx="407">
                  <c:v>1.85</c:v>
                </c:pt>
                <c:pt idx="408">
                  <c:v>1.1599999999999999</c:v>
                </c:pt>
                <c:pt idx="409">
                  <c:v>1.32</c:v>
                </c:pt>
                <c:pt idx="410">
                  <c:v>1.28</c:v>
                </c:pt>
                <c:pt idx="411">
                  <c:v>1.34</c:v>
                </c:pt>
                <c:pt idx="412">
                  <c:v>0.73043999999999998</c:v>
                </c:pt>
                <c:pt idx="413">
                  <c:v>0.88905999999999996</c:v>
                </c:pt>
                <c:pt idx="414">
                  <c:v>1.28</c:v>
                </c:pt>
                <c:pt idx="415">
                  <c:v>1.44</c:v>
                </c:pt>
                <c:pt idx="416">
                  <c:v>1.46</c:v>
                </c:pt>
                <c:pt idx="417">
                  <c:v>1.1599999999999999</c:v>
                </c:pt>
                <c:pt idx="418">
                  <c:v>2.14</c:v>
                </c:pt>
                <c:pt idx="419">
                  <c:v>1.56</c:v>
                </c:pt>
                <c:pt idx="420">
                  <c:v>1.33</c:v>
                </c:pt>
                <c:pt idx="421">
                  <c:v>0.96048</c:v>
                </c:pt>
                <c:pt idx="422">
                  <c:v>1.08</c:v>
                </c:pt>
                <c:pt idx="423">
                  <c:v>1.35</c:v>
                </c:pt>
                <c:pt idx="424">
                  <c:v>0.92127000000000003</c:v>
                </c:pt>
                <c:pt idx="425">
                  <c:v>0.73414999999999997</c:v>
                </c:pt>
                <c:pt idx="426">
                  <c:v>0.99992999999999999</c:v>
                </c:pt>
                <c:pt idx="427">
                  <c:v>0.78347999999999995</c:v>
                </c:pt>
                <c:pt idx="428">
                  <c:v>0.83091000000000004</c:v>
                </c:pt>
                <c:pt idx="429">
                  <c:v>2.54</c:v>
                </c:pt>
                <c:pt idx="430">
                  <c:v>3.7</c:v>
                </c:pt>
                <c:pt idx="431">
                  <c:v>1.68</c:v>
                </c:pt>
                <c:pt idx="432">
                  <c:v>2.1</c:v>
                </c:pt>
                <c:pt idx="433">
                  <c:v>1.64</c:v>
                </c:pt>
                <c:pt idx="434">
                  <c:v>1.48</c:v>
                </c:pt>
                <c:pt idx="435">
                  <c:v>2.37</c:v>
                </c:pt>
                <c:pt idx="436">
                  <c:v>1.31</c:v>
                </c:pt>
                <c:pt idx="437">
                  <c:v>1.88</c:v>
                </c:pt>
                <c:pt idx="438">
                  <c:v>1.1599999999999999</c:v>
                </c:pt>
                <c:pt idx="439">
                  <c:v>1.27</c:v>
                </c:pt>
                <c:pt idx="440">
                  <c:v>0.88685999999999998</c:v>
                </c:pt>
                <c:pt idx="441">
                  <c:v>0.99072000000000005</c:v>
                </c:pt>
                <c:pt idx="442">
                  <c:v>1.79</c:v>
                </c:pt>
                <c:pt idx="443">
                  <c:v>1.55</c:v>
                </c:pt>
                <c:pt idx="444">
                  <c:v>0.82757000000000003</c:v>
                </c:pt>
                <c:pt idx="445">
                  <c:v>0.77908999999999995</c:v>
                </c:pt>
                <c:pt idx="446">
                  <c:v>0.85257000000000005</c:v>
                </c:pt>
                <c:pt idx="447">
                  <c:v>1.19</c:v>
                </c:pt>
                <c:pt idx="448">
                  <c:v>0.60514000000000001</c:v>
                </c:pt>
                <c:pt idx="449">
                  <c:v>0.87095999999999996</c:v>
                </c:pt>
                <c:pt idx="450">
                  <c:v>0.82264999999999999</c:v>
                </c:pt>
                <c:pt idx="451">
                  <c:v>1.35</c:v>
                </c:pt>
                <c:pt idx="452">
                  <c:v>0.69642999999999999</c:v>
                </c:pt>
                <c:pt idx="453">
                  <c:v>0.68169999999999997</c:v>
                </c:pt>
                <c:pt idx="454">
                  <c:v>0.82184000000000001</c:v>
                </c:pt>
                <c:pt idx="455">
                  <c:v>1.67</c:v>
                </c:pt>
                <c:pt idx="456">
                  <c:v>2.0099999999999998</c:v>
                </c:pt>
                <c:pt idx="457">
                  <c:v>0.99177999999999999</c:v>
                </c:pt>
                <c:pt idx="458">
                  <c:v>1.27</c:v>
                </c:pt>
                <c:pt idx="459">
                  <c:v>1.41</c:v>
                </c:pt>
                <c:pt idx="460">
                  <c:v>1.47</c:v>
                </c:pt>
                <c:pt idx="461">
                  <c:v>1.7</c:v>
                </c:pt>
                <c:pt idx="462">
                  <c:v>1.35</c:v>
                </c:pt>
                <c:pt idx="463">
                  <c:v>0.93006999999999995</c:v>
                </c:pt>
                <c:pt idx="464">
                  <c:v>1.89</c:v>
                </c:pt>
                <c:pt idx="465">
                  <c:v>2.04</c:v>
                </c:pt>
                <c:pt idx="466">
                  <c:v>1.65</c:v>
                </c:pt>
                <c:pt idx="467">
                  <c:v>4.57</c:v>
                </c:pt>
                <c:pt idx="468">
                  <c:v>1.39</c:v>
                </c:pt>
                <c:pt idx="469">
                  <c:v>1.46</c:v>
                </c:pt>
                <c:pt idx="470">
                  <c:v>1.59</c:v>
                </c:pt>
                <c:pt idx="471">
                  <c:v>1.58</c:v>
                </c:pt>
                <c:pt idx="472">
                  <c:v>2.74</c:v>
                </c:pt>
                <c:pt idx="473">
                  <c:v>2.37</c:v>
                </c:pt>
                <c:pt idx="474">
                  <c:v>2.0099999999999998</c:v>
                </c:pt>
                <c:pt idx="475">
                  <c:v>1.98</c:v>
                </c:pt>
                <c:pt idx="476">
                  <c:v>1.64</c:v>
                </c:pt>
                <c:pt idx="477">
                  <c:v>1.7</c:v>
                </c:pt>
                <c:pt idx="478">
                  <c:v>1.5</c:v>
                </c:pt>
                <c:pt idx="479">
                  <c:v>1.06</c:v>
                </c:pt>
                <c:pt idx="480">
                  <c:v>1.1000000000000001</c:v>
                </c:pt>
                <c:pt idx="481">
                  <c:v>1.52</c:v>
                </c:pt>
                <c:pt idx="482">
                  <c:v>1.1499999999999999</c:v>
                </c:pt>
                <c:pt idx="483">
                  <c:v>1.94</c:v>
                </c:pt>
                <c:pt idx="484">
                  <c:v>2.0099999999999998</c:v>
                </c:pt>
                <c:pt idx="485">
                  <c:v>1.98</c:v>
                </c:pt>
                <c:pt idx="486">
                  <c:v>1.4</c:v>
                </c:pt>
                <c:pt idx="487">
                  <c:v>0.63209000000000004</c:v>
                </c:pt>
                <c:pt idx="488">
                  <c:v>0.86280000000000001</c:v>
                </c:pt>
                <c:pt idx="489">
                  <c:v>0.88551999999999997</c:v>
                </c:pt>
                <c:pt idx="490">
                  <c:v>0.75722</c:v>
                </c:pt>
                <c:pt idx="491">
                  <c:v>0.73277999999999999</c:v>
                </c:pt>
                <c:pt idx="492">
                  <c:v>0.85399000000000003</c:v>
                </c:pt>
                <c:pt idx="493">
                  <c:v>1.78</c:v>
                </c:pt>
                <c:pt idx="494">
                  <c:v>0.96733999999999998</c:v>
                </c:pt>
                <c:pt idx="495">
                  <c:v>0.82716999999999996</c:v>
                </c:pt>
                <c:pt idx="496">
                  <c:v>1.18</c:v>
                </c:pt>
                <c:pt idx="497">
                  <c:v>1.21</c:v>
                </c:pt>
                <c:pt idx="498">
                  <c:v>1.45</c:v>
                </c:pt>
                <c:pt idx="499">
                  <c:v>1.04</c:v>
                </c:pt>
                <c:pt idx="500">
                  <c:v>0.77202000000000004</c:v>
                </c:pt>
                <c:pt idx="501">
                  <c:v>1.31</c:v>
                </c:pt>
                <c:pt idx="502">
                  <c:v>1.25</c:v>
                </c:pt>
                <c:pt idx="503">
                  <c:v>1.74</c:v>
                </c:pt>
                <c:pt idx="504">
                  <c:v>1.63</c:v>
                </c:pt>
                <c:pt idx="505">
                  <c:v>2.13</c:v>
                </c:pt>
                <c:pt idx="506">
                  <c:v>1.56</c:v>
                </c:pt>
                <c:pt idx="507">
                  <c:v>1.6</c:v>
                </c:pt>
                <c:pt idx="508">
                  <c:v>1.06</c:v>
                </c:pt>
                <c:pt idx="509">
                  <c:v>1.58</c:v>
                </c:pt>
                <c:pt idx="510">
                  <c:v>1.45</c:v>
                </c:pt>
                <c:pt idx="511">
                  <c:v>1.39</c:v>
                </c:pt>
                <c:pt idx="512">
                  <c:v>1.41</c:v>
                </c:pt>
                <c:pt idx="513">
                  <c:v>2.61</c:v>
                </c:pt>
                <c:pt idx="514">
                  <c:v>2.15</c:v>
                </c:pt>
                <c:pt idx="515">
                  <c:v>0.91805000000000003</c:v>
                </c:pt>
                <c:pt idx="516">
                  <c:v>1.49</c:v>
                </c:pt>
                <c:pt idx="517">
                  <c:v>0.79740999999999995</c:v>
                </c:pt>
                <c:pt idx="518">
                  <c:v>0.85331999999999997</c:v>
                </c:pt>
                <c:pt idx="519">
                  <c:v>0.91317999999999999</c:v>
                </c:pt>
                <c:pt idx="520">
                  <c:v>1.1100000000000001</c:v>
                </c:pt>
                <c:pt idx="521">
                  <c:v>1.26</c:v>
                </c:pt>
                <c:pt idx="522">
                  <c:v>1.57</c:v>
                </c:pt>
                <c:pt idx="523">
                  <c:v>1.47</c:v>
                </c:pt>
                <c:pt idx="524">
                  <c:v>1.32</c:v>
                </c:pt>
                <c:pt idx="525">
                  <c:v>1.4</c:v>
                </c:pt>
                <c:pt idx="526">
                  <c:v>1.21</c:v>
                </c:pt>
                <c:pt idx="527">
                  <c:v>1.74</c:v>
                </c:pt>
                <c:pt idx="528">
                  <c:v>1.7</c:v>
                </c:pt>
                <c:pt idx="529">
                  <c:v>1.25</c:v>
                </c:pt>
                <c:pt idx="530">
                  <c:v>2.74</c:v>
                </c:pt>
                <c:pt idx="531">
                  <c:v>3.76</c:v>
                </c:pt>
                <c:pt idx="532">
                  <c:v>1.76</c:v>
                </c:pt>
                <c:pt idx="533">
                  <c:v>1.26</c:v>
                </c:pt>
                <c:pt idx="534">
                  <c:v>1.1499999999999999</c:v>
                </c:pt>
                <c:pt idx="535">
                  <c:v>1.35</c:v>
                </c:pt>
                <c:pt idx="536">
                  <c:v>0.97280999999999995</c:v>
                </c:pt>
                <c:pt idx="537">
                  <c:v>1.65</c:v>
                </c:pt>
                <c:pt idx="538">
                  <c:v>2.0299999999999998</c:v>
                </c:pt>
                <c:pt idx="539">
                  <c:v>1.75</c:v>
                </c:pt>
                <c:pt idx="540">
                  <c:v>2.17</c:v>
                </c:pt>
                <c:pt idx="541">
                  <c:v>1.56</c:v>
                </c:pt>
                <c:pt idx="542">
                  <c:v>1.48</c:v>
                </c:pt>
                <c:pt idx="543">
                  <c:v>0.83940000000000003</c:v>
                </c:pt>
                <c:pt idx="544">
                  <c:v>1.43</c:v>
                </c:pt>
                <c:pt idx="545">
                  <c:v>1.17</c:v>
                </c:pt>
                <c:pt idx="546">
                  <c:v>0.76822999999999997</c:v>
                </c:pt>
                <c:pt idx="547">
                  <c:v>0.70386000000000004</c:v>
                </c:pt>
                <c:pt idx="548">
                  <c:v>0.62887000000000004</c:v>
                </c:pt>
                <c:pt idx="549">
                  <c:v>1.07</c:v>
                </c:pt>
                <c:pt idx="550">
                  <c:v>0.94706999999999997</c:v>
                </c:pt>
                <c:pt idx="551">
                  <c:v>0.69826999999999995</c:v>
                </c:pt>
                <c:pt idx="552">
                  <c:v>0.94804999999999995</c:v>
                </c:pt>
                <c:pt idx="553">
                  <c:v>3.39</c:v>
                </c:pt>
                <c:pt idx="554">
                  <c:v>1.54</c:v>
                </c:pt>
                <c:pt idx="555">
                  <c:v>1.51</c:v>
                </c:pt>
                <c:pt idx="556">
                  <c:v>1</c:v>
                </c:pt>
                <c:pt idx="557">
                  <c:v>0.65537000000000001</c:v>
                </c:pt>
                <c:pt idx="558">
                  <c:v>1.43</c:v>
                </c:pt>
                <c:pt idx="559">
                  <c:v>0.92354000000000003</c:v>
                </c:pt>
                <c:pt idx="560">
                  <c:v>1.41</c:v>
                </c:pt>
                <c:pt idx="561">
                  <c:v>0.77547999999999995</c:v>
                </c:pt>
                <c:pt idx="562">
                  <c:v>1.79</c:v>
                </c:pt>
                <c:pt idx="563">
                  <c:v>1.54</c:v>
                </c:pt>
                <c:pt idx="564">
                  <c:v>1.83</c:v>
                </c:pt>
                <c:pt idx="565">
                  <c:v>1.75</c:v>
                </c:pt>
                <c:pt idx="566">
                  <c:v>1.07</c:v>
                </c:pt>
                <c:pt idx="567">
                  <c:v>1.1299999999999999</c:v>
                </c:pt>
                <c:pt idx="568">
                  <c:v>1.2</c:v>
                </c:pt>
                <c:pt idx="569">
                  <c:v>0.83004999999999995</c:v>
                </c:pt>
                <c:pt idx="570">
                  <c:v>0.99121000000000004</c:v>
                </c:pt>
                <c:pt idx="571">
                  <c:v>0.75870000000000004</c:v>
                </c:pt>
                <c:pt idx="572">
                  <c:v>0.68774999999999997</c:v>
                </c:pt>
                <c:pt idx="573">
                  <c:v>1.4</c:v>
                </c:pt>
                <c:pt idx="574">
                  <c:v>1.1599999999999999</c:v>
                </c:pt>
                <c:pt idx="575">
                  <c:v>0.98067000000000004</c:v>
                </c:pt>
                <c:pt idx="576">
                  <c:v>0.72191000000000005</c:v>
                </c:pt>
                <c:pt idx="577">
                  <c:v>1.72</c:v>
                </c:pt>
                <c:pt idx="578">
                  <c:v>1.27</c:v>
                </c:pt>
                <c:pt idx="579">
                  <c:v>1.18</c:v>
                </c:pt>
                <c:pt idx="580">
                  <c:v>1.52</c:v>
                </c:pt>
                <c:pt idx="581">
                  <c:v>2.48</c:v>
                </c:pt>
                <c:pt idx="582">
                  <c:v>2.4</c:v>
                </c:pt>
                <c:pt idx="583">
                  <c:v>1.5</c:v>
                </c:pt>
                <c:pt idx="584">
                  <c:v>1.42</c:v>
                </c:pt>
                <c:pt idx="585">
                  <c:v>0.91269999999999996</c:v>
                </c:pt>
                <c:pt idx="586">
                  <c:v>1.22</c:v>
                </c:pt>
                <c:pt idx="587">
                  <c:v>1.17</c:v>
                </c:pt>
                <c:pt idx="588">
                  <c:v>1.43</c:v>
                </c:pt>
                <c:pt idx="589">
                  <c:v>5.2</c:v>
                </c:pt>
                <c:pt idx="590">
                  <c:v>1.78</c:v>
                </c:pt>
                <c:pt idx="591">
                  <c:v>1.65</c:v>
                </c:pt>
                <c:pt idx="592">
                  <c:v>1.3</c:v>
                </c:pt>
                <c:pt idx="593">
                  <c:v>2.2799999999999998</c:v>
                </c:pt>
                <c:pt idx="594">
                  <c:v>0.96645000000000003</c:v>
                </c:pt>
                <c:pt idx="595">
                  <c:v>2</c:v>
                </c:pt>
                <c:pt idx="596">
                  <c:v>1.76</c:v>
                </c:pt>
                <c:pt idx="597">
                  <c:v>2.08</c:v>
                </c:pt>
                <c:pt idx="598">
                  <c:v>1.48</c:v>
                </c:pt>
                <c:pt idx="599">
                  <c:v>1.36</c:v>
                </c:pt>
                <c:pt idx="600">
                  <c:v>0.80381999999999998</c:v>
                </c:pt>
                <c:pt idx="601">
                  <c:v>1</c:v>
                </c:pt>
                <c:pt idx="602">
                  <c:v>1.21</c:v>
                </c:pt>
                <c:pt idx="603">
                  <c:v>1.31</c:v>
                </c:pt>
                <c:pt idx="604">
                  <c:v>1.47</c:v>
                </c:pt>
                <c:pt idx="605">
                  <c:v>1.06</c:v>
                </c:pt>
                <c:pt idx="606">
                  <c:v>1.1599999999999999</c:v>
                </c:pt>
                <c:pt idx="607">
                  <c:v>1.53</c:v>
                </c:pt>
                <c:pt idx="608">
                  <c:v>1.97</c:v>
                </c:pt>
                <c:pt idx="609">
                  <c:v>0.97699999999999998</c:v>
                </c:pt>
                <c:pt idx="610">
                  <c:v>0.96003000000000005</c:v>
                </c:pt>
                <c:pt idx="611">
                  <c:v>1.1399999999999999</c:v>
                </c:pt>
                <c:pt idx="612">
                  <c:v>1.1399999999999999</c:v>
                </c:pt>
                <c:pt idx="613">
                  <c:v>0.80296000000000001</c:v>
                </c:pt>
                <c:pt idx="614">
                  <c:v>0.61983999999999995</c:v>
                </c:pt>
                <c:pt idx="615">
                  <c:v>0.95855999999999997</c:v>
                </c:pt>
                <c:pt idx="616">
                  <c:v>1.23</c:v>
                </c:pt>
                <c:pt idx="617">
                  <c:v>3.24</c:v>
                </c:pt>
                <c:pt idx="618">
                  <c:v>0.81340999999999997</c:v>
                </c:pt>
                <c:pt idx="619">
                  <c:v>1.1399999999999999</c:v>
                </c:pt>
                <c:pt idx="620">
                  <c:v>0.84409000000000001</c:v>
                </c:pt>
                <c:pt idx="621">
                  <c:v>1.0900000000000001</c:v>
                </c:pt>
                <c:pt idx="622">
                  <c:v>1.89</c:v>
                </c:pt>
                <c:pt idx="623">
                  <c:v>1.02</c:v>
                </c:pt>
                <c:pt idx="624">
                  <c:v>1.1200000000000001</c:v>
                </c:pt>
                <c:pt idx="625">
                  <c:v>3.95</c:v>
                </c:pt>
                <c:pt idx="626">
                  <c:v>1.23</c:v>
                </c:pt>
                <c:pt idx="627">
                  <c:v>2.08</c:v>
                </c:pt>
                <c:pt idx="628">
                  <c:v>3.75</c:v>
                </c:pt>
                <c:pt idx="629">
                  <c:v>1.5</c:v>
                </c:pt>
                <c:pt idx="630">
                  <c:v>1.8</c:v>
                </c:pt>
                <c:pt idx="631">
                  <c:v>2.2200000000000002</c:v>
                </c:pt>
                <c:pt idx="632">
                  <c:v>1.18</c:v>
                </c:pt>
                <c:pt idx="633">
                  <c:v>1.1200000000000001</c:v>
                </c:pt>
                <c:pt idx="634">
                  <c:v>1.26</c:v>
                </c:pt>
                <c:pt idx="635">
                  <c:v>1.0900000000000001</c:v>
                </c:pt>
                <c:pt idx="636">
                  <c:v>1.61</c:v>
                </c:pt>
                <c:pt idx="637">
                  <c:v>1.25</c:v>
                </c:pt>
                <c:pt idx="638">
                  <c:v>1.59</c:v>
                </c:pt>
                <c:pt idx="639">
                  <c:v>1.59</c:v>
                </c:pt>
                <c:pt idx="640">
                  <c:v>1.91</c:v>
                </c:pt>
                <c:pt idx="641">
                  <c:v>1.08</c:v>
                </c:pt>
                <c:pt idx="642">
                  <c:v>1.47</c:v>
                </c:pt>
                <c:pt idx="643">
                  <c:v>1.0900000000000001</c:v>
                </c:pt>
                <c:pt idx="644">
                  <c:v>1.7</c:v>
                </c:pt>
                <c:pt idx="645">
                  <c:v>1.63</c:v>
                </c:pt>
                <c:pt idx="646">
                  <c:v>1.53</c:v>
                </c:pt>
                <c:pt idx="647">
                  <c:v>0.95489999999999997</c:v>
                </c:pt>
                <c:pt idx="648">
                  <c:v>1.25</c:v>
                </c:pt>
                <c:pt idx="649">
                  <c:v>1.08</c:v>
                </c:pt>
                <c:pt idx="650">
                  <c:v>1.27</c:v>
                </c:pt>
                <c:pt idx="651">
                  <c:v>3.61</c:v>
                </c:pt>
                <c:pt idx="652">
                  <c:v>0.92271000000000003</c:v>
                </c:pt>
                <c:pt idx="653">
                  <c:v>1.44</c:v>
                </c:pt>
                <c:pt idx="654">
                  <c:v>2.65</c:v>
                </c:pt>
                <c:pt idx="655">
                  <c:v>1.78</c:v>
                </c:pt>
                <c:pt idx="656">
                  <c:v>0.87514000000000003</c:v>
                </c:pt>
                <c:pt idx="657">
                  <c:v>0.92040999999999995</c:v>
                </c:pt>
                <c:pt idx="658">
                  <c:v>1.27</c:v>
                </c:pt>
                <c:pt idx="659">
                  <c:v>1.6</c:v>
                </c:pt>
                <c:pt idx="660">
                  <c:v>1.1299999999999999</c:v>
                </c:pt>
                <c:pt idx="661">
                  <c:v>1.34</c:v>
                </c:pt>
                <c:pt idx="662">
                  <c:v>1.47</c:v>
                </c:pt>
                <c:pt idx="663">
                  <c:v>0.74502000000000002</c:v>
                </c:pt>
                <c:pt idx="664">
                  <c:v>1.82</c:v>
                </c:pt>
                <c:pt idx="665">
                  <c:v>0.77105999999999997</c:v>
                </c:pt>
                <c:pt idx="666">
                  <c:v>8.2470000000000002E-2</c:v>
                </c:pt>
                <c:pt idx="667">
                  <c:v>0.76080999999999999</c:v>
                </c:pt>
                <c:pt idx="668">
                  <c:v>1.46</c:v>
                </c:pt>
                <c:pt idx="669">
                  <c:v>1.42</c:v>
                </c:pt>
                <c:pt idx="670">
                  <c:v>1.76</c:v>
                </c:pt>
                <c:pt idx="671">
                  <c:v>0.94423000000000001</c:v>
                </c:pt>
                <c:pt idx="672">
                  <c:v>1.0900000000000001</c:v>
                </c:pt>
                <c:pt idx="673">
                  <c:v>0.81660999999999995</c:v>
                </c:pt>
                <c:pt idx="674">
                  <c:v>1.02</c:v>
                </c:pt>
                <c:pt idx="675">
                  <c:v>0.73514000000000002</c:v>
                </c:pt>
                <c:pt idx="676">
                  <c:v>1.88</c:v>
                </c:pt>
                <c:pt idx="677">
                  <c:v>1.27</c:v>
                </c:pt>
                <c:pt idx="678">
                  <c:v>3.1</c:v>
                </c:pt>
                <c:pt idx="679">
                  <c:v>1.35</c:v>
                </c:pt>
                <c:pt idx="680">
                  <c:v>2.19</c:v>
                </c:pt>
                <c:pt idx="681">
                  <c:v>3.11</c:v>
                </c:pt>
                <c:pt idx="682">
                  <c:v>1.57</c:v>
                </c:pt>
                <c:pt idx="683">
                  <c:v>3.93</c:v>
                </c:pt>
                <c:pt idx="684">
                  <c:v>1.61</c:v>
                </c:pt>
                <c:pt idx="685">
                  <c:v>2.0099999999999998</c:v>
                </c:pt>
                <c:pt idx="686">
                  <c:v>1.68</c:v>
                </c:pt>
                <c:pt idx="687">
                  <c:v>1.51</c:v>
                </c:pt>
                <c:pt idx="688">
                  <c:v>2.17</c:v>
                </c:pt>
                <c:pt idx="689">
                  <c:v>2.54</c:v>
                </c:pt>
                <c:pt idx="690">
                  <c:v>1.97</c:v>
                </c:pt>
                <c:pt idx="691">
                  <c:v>1.66</c:v>
                </c:pt>
                <c:pt idx="692">
                  <c:v>1.47</c:v>
                </c:pt>
                <c:pt idx="693">
                  <c:v>1.95</c:v>
                </c:pt>
                <c:pt idx="694">
                  <c:v>1.17</c:v>
                </c:pt>
                <c:pt idx="695">
                  <c:v>0.89378000000000002</c:v>
                </c:pt>
                <c:pt idx="696">
                  <c:v>1.07</c:v>
                </c:pt>
                <c:pt idx="697">
                  <c:v>1.64</c:v>
                </c:pt>
                <c:pt idx="698">
                  <c:v>1.31</c:v>
                </c:pt>
                <c:pt idx="699">
                  <c:v>0.52634999999999998</c:v>
                </c:pt>
                <c:pt idx="700">
                  <c:v>1.31</c:v>
                </c:pt>
                <c:pt idx="701">
                  <c:v>1.01</c:v>
                </c:pt>
                <c:pt idx="702">
                  <c:v>1.38</c:v>
                </c:pt>
                <c:pt idx="703">
                  <c:v>1.1499999999999999</c:v>
                </c:pt>
                <c:pt idx="704">
                  <c:v>1.19</c:v>
                </c:pt>
                <c:pt idx="705">
                  <c:v>1.02</c:v>
                </c:pt>
                <c:pt idx="706">
                  <c:v>0.88127999999999995</c:v>
                </c:pt>
                <c:pt idx="707">
                  <c:v>2.4</c:v>
                </c:pt>
                <c:pt idx="708">
                  <c:v>2.98</c:v>
                </c:pt>
                <c:pt idx="709">
                  <c:v>1.39</c:v>
                </c:pt>
                <c:pt idx="710">
                  <c:v>1.6</c:v>
                </c:pt>
                <c:pt idx="711">
                  <c:v>3.05</c:v>
                </c:pt>
                <c:pt idx="712">
                  <c:v>1.27</c:v>
                </c:pt>
                <c:pt idx="713">
                  <c:v>1.32</c:v>
                </c:pt>
                <c:pt idx="714">
                  <c:v>2.4700000000000002</c:v>
                </c:pt>
                <c:pt idx="715">
                  <c:v>4.37</c:v>
                </c:pt>
                <c:pt idx="716">
                  <c:v>1.55</c:v>
                </c:pt>
                <c:pt idx="717">
                  <c:v>2.36</c:v>
                </c:pt>
                <c:pt idx="718">
                  <c:v>1.59</c:v>
                </c:pt>
                <c:pt idx="719">
                  <c:v>1.79</c:v>
                </c:pt>
                <c:pt idx="720">
                  <c:v>1.45</c:v>
                </c:pt>
                <c:pt idx="721">
                  <c:v>1.73</c:v>
                </c:pt>
                <c:pt idx="722">
                  <c:v>1.96</c:v>
                </c:pt>
                <c:pt idx="723">
                  <c:v>1.32</c:v>
                </c:pt>
                <c:pt idx="724">
                  <c:v>1.56</c:v>
                </c:pt>
                <c:pt idx="725">
                  <c:v>1.1499999999999999</c:v>
                </c:pt>
                <c:pt idx="726">
                  <c:v>1.76</c:v>
                </c:pt>
                <c:pt idx="727">
                  <c:v>0.88646999999999998</c:v>
                </c:pt>
                <c:pt idx="728">
                  <c:v>1.29</c:v>
                </c:pt>
                <c:pt idx="729">
                  <c:v>0.95787</c:v>
                </c:pt>
                <c:pt idx="730">
                  <c:v>1.4</c:v>
                </c:pt>
                <c:pt idx="731">
                  <c:v>2.5499999999999998</c:v>
                </c:pt>
                <c:pt idx="732">
                  <c:v>2.36</c:v>
                </c:pt>
                <c:pt idx="733">
                  <c:v>0.57667999999999997</c:v>
                </c:pt>
                <c:pt idx="734">
                  <c:v>1.03</c:v>
                </c:pt>
                <c:pt idx="735">
                  <c:v>1.1299999999999999</c:v>
                </c:pt>
                <c:pt idx="736">
                  <c:v>2.2599999999999998</c:v>
                </c:pt>
                <c:pt idx="737">
                  <c:v>1.21</c:v>
                </c:pt>
                <c:pt idx="738">
                  <c:v>0.83160000000000001</c:v>
                </c:pt>
                <c:pt idx="739">
                  <c:v>1.1200000000000001</c:v>
                </c:pt>
                <c:pt idx="740">
                  <c:v>0.62914999999999999</c:v>
                </c:pt>
                <c:pt idx="741">
                  <c:v>2.85</c:v>
                </c:pt>
                <c:pt idx="742">
                  <c:v>2.33</c:v>
                </c:pt>
                <c:pt idx="743">
                  <c:v>4.2909999999999997E-2</c:v>
                </c:pt>
                <c:pt idx="744">
                  <c:v>1.5</c:v>
                </c:pt>
                <c:pt idx="745">
                  <c:v>1.59</c:v>
                </c:pt>
                <c:pt idx="746">
                  <c:v>1.35</c:v>
                </c:pt>
                <c:pt idx="747">
                  <c:v>1.82</c:v>
                </c:pt>
                <c:pt idx="748">
                  <c:v>2.04</c:v>
                </c:pt>
                <c:pt idx="749">
                  <c:v>1.01</c:v>
                </c:pt>
                <c:pt idx="750">
                  <c:v>2.3199999999999998</c:v>
                </c:pt>
                <c:pt idx="751">
                  <c:v>2.29</c:v>
                </c:pt>
                <c:pt idx="752">
                  <c:v>2.75</c:v>
                </c:pt>
                <c:pt idx="753">
                  <c:v>2.4900000000000002</c:v>
                </c:pt>
                <c:pt idx="754">
                  <c:v>4.22</c:v>
                </c:pt>
                <c:pt idx="755">
                  <c:v>3</c:v>
                </c:pt>
                <c:pt idx="756">
                  <c:v>3.5</c:v>
                </c:pt>
                <c:pt idx="757">
                  <c:v>3.51</c:v>
                </c:pt>
                <c:pt idx="758">
                  <c:v>3.03</c:v>
                </c:pt>
                <c:pt idx="759">
                  <c:v>2.17</c:v>
                </c:pt>
                <c:pt idx="760">
                  <c:v>3.19</c:v>
                </c:pt>
                <c:pt idx="761">
                  <c:v>1.43</c:v>
                </c:pt>
                <c:pt idx="762">
                  <c:v>1.22</c:v>
                </c:pt>
                <c:pt idx="763">
                  <c:v>1.18</c:v>
                </c:pt>
                <c:pt idx="764">
                  <c:v>1.89</c:v>
                </c:pt>
                <c:pt idx="765">
                  <c:v>1.1499999999999999</c:v>
                </c:pt>
                <c:pt idx="766">
                  <c:v>1.1299999999999999</c:v>
                </c:pt>
                <c:pt idx="767">
                  <c:v>1.19</c:v>
                </c:pt>
                <c:pt idx="768">
                  <c:v>2.31</c:v>
                </c:pt>
                <c:pt idx="769">
                  <c:v>3.39</c:v>
                </c:pt>
                <c:pt idx="770">
                  <c:v>4.91</c:v>
                </c:pt>
                <c:pt idx="771">
                  <c:v>2.82</c:v>
                </c:pt>
                <c:pt idx="772">
                  <c:v>3.39</c:v>
                </c:pt>
                <c:pt idx="773">
                  <c:v>2.34</c:v>
                </c:pt>
                <c:pt idx="774">
                  <c:v>1.8</c:v>
                </c:pt>
                <c:pt idx="775">
                  <c:v>1.99</c:v>
                </c:pt>
                <c:pt idx="776">
                  <c:v>1.4</c:v>
                </c:pt>
                <c:pt idx="777">
                  <c:v>4.95</c:v>
                </c:pt>
                <c:pt idx="778">
                  <c:v>2.31</c:v>
                </c:pt>
                <c:pt idx="779">
                  <c:v>1.4</c:v>
                </c:pt>
                <c:pt idx="780">
                  <c:v>2.12</c:v>
                </c:pt>
                <c:pt idx="781">
                  <c:v>2.14</c:v>
                </c:pt>
                <c:pt idx="782">
                  <c:v>2.6</c:v>
                </c:pt>
                <c:pt idx="783">
                  <c:v>1.62</c:v>
                </c:pt>
                <c:pt idx="784">
                  <c:v>8.2799999999999994</c:v>
                </c:pt>
                <c:pt idx="785">
                  <c:v>1.81</c:v>
                </c:pt>
                <c:pt idx="786">
                  <c:v>1.56</c:v>
                </c:pt>
                <c:pt idx="787">
                  <c:v>2.61</c:v>
                </c:pt>
                <c:pt idx="788">
                  <c:v>1.17</c:v>
                </c:pt>
                <c:pt idx="789">
                  <c:v>0.68942999999999999</c:v>
                </c:pt>
                <c:pt idx="790">
                  <c:v>0.81228</c:v>
                </c:pt>
                <c:pt idx="791">
                  <c:v>1.88</c:v>
                </c:pt>
                <c:pt idx="792">
                  <c:v>1.26</c:v>
                </c:pt>
                <c:pt idx="793">
                  <c:v>7.3810000000000001E-2</c:v>
                </c:pt>
                <c:pt idx="794">
                  <c:v>1.66</c:v>
                </c:pt>
                <c:pt idx="795">
                  <c:v>1.91</c:v>
                </c:pt>
                <c:pt idx="796">
                  <c:v>1.61</c:v>
                </c:pt>
                <c:pt idx="797">
                  <c:v>0.97409999999999997</c:v>
                </c:pt>
                <c:pt idx="798">
                  <c:v>1.1200000000000001</c:v>
                </c:pt>
                <c:pt idx="799">
                  <c:v>1.63</c:v>
                </c:pt>
                <c:pt idx="800">
                  <c:v>1.59</c:v>
                </c:pt>
                <c:pt idx="801">
                  <c:v>1.84</c:v>
                </c:pt>
                <c:pt idx="802">
                  <c:v>5.53</c:v>
                </c:pt>
                <c:pt idx="803">
                  <c:v>1.21</c:v>
                </c:pt>
                <c:pt idx="804">
                  <c:v>7.83</c:v>
                </c:pt>
                <c:pt idx="805">
                  <c:v>11.06</c:v>
                </c:pt>
                <c:pt idx="806">
                  <c:v>4.0999999999999996</c:v>
                </c:pt>
                <c:pt idx="807">
                  <c:v>3.97</c:v>
                </c:pt>
                <c:pt idx="808">
                  <c:v>1.45</c:v>
                </c:pt>
                <c:pt idx="809">
                  <c:v>1.4</c:v>
                </c:pt>
                <c:pt idx="810">
                  <c:v>1.75</c:v>
                </c:pt>
                <c:pt idx="811">
                  <c:v>3.12</c:v>
                </c:pt>
                <c:pt idx="812">
                  <c:v>1.73</c:v>
                </c:pt>
                <c:pt idx="813">
                  <c:v>1.82</c:v>
                </c:pt>
                <c:pt idx="814">
                  <c:v>0.98697999999999997</c:v>
                </c:pt>
                <c:pt idx="815">
                  <c:v>2.16</c:v>
                </c:pt>
                <c:pt idx="816">
                  <c:v>3.65</c:v>
                </c:pt>
                <c:pt idx="817">
                  <c:v>1.95</c:v>
                </c:pt>
                <c:pt idx="818">
                  <c:v>0.83379000000000003</c:v>
                </c:pt>
                <c:pt idx="819">
                  <c:v>1.74</c:v>
                </c:pt>
                <c:pt idx="820">
                  <c:v>3.4</c:v>
                </c:pt>
                <c:pt idx="821">
                  <c:v>2.13</c:v>
                </c:pt>
                <c:pt idx="822">
                  <c:v>3.31</c:v>
                </c:pt>
                <c:pt idx="823">
                  <c:v>1.31</c:v>
                </c:pt>
                <c:pt idx="824">
                  <c:v>1.41</c:v>
                </c:pt>
                <c:pt idx="825">
                  <c:v>1.98</c:v>
                </c:pt>
                <c:pt idx="826">
                  <c:v>1.75</c:v>
                </c:pt>
                <c:pt idx="827">
                  <c:v>2.82</c:v>
                </c:pt>
                <c:pt idx="828">
                  <c:v>1.48</c:v>
                </c:pt>
                <c:pt idx="829">
                  <c:v>1.76</c:v>
                </c:pt>
                <c:pt idx="830">
                  <c:v>1.43</c:v>
                </c:pt>
                <c:pt idx="831">
                  <c:v>1.91</c:v>
                </c:pt>
                <c:pt idx="832">
                  <c:v>0.92010000000000003</c:v>
                </c:pt>
                <c:pt idx="833">
                  <c:v>3.3</c:v>
                </c:pt>
                <c:pt idx="834">
                  <c:v>5.57</c:v>
                </c:pt>
                <c:pt idx="835">
                  <c:v>1.67</c:v>
                </c:pt>
                <c:pt idx="836">
                  <c:v>1.91</c:v>
                </c:pt>
                <c:pt idx="837">
                  <c:v>3.91</c:v>
                </c:pt>
                <c:pt idx="838">
                  <c:v>3.61</c:v>
                </c:pt>
                <c:pt idx="839">
                  <c:v>2.17</c:v>
                </c:pt>
                <c:pt idx="840">
                  <c:v>2.14</c:v>
                </c:pt>
                <c:pt idx="841">
                  <c:v>0.95701000000000003</c:v>
                </c:pt>
                <c:pt idx="842">
                  <c:v>1.56</c:v>
                </c:pt>
                <c:pt idx="843">
                  <c:v>1.75</c:v>
                </c:pt>
                <c:pt idx="844">
                  <c:v>1.89</c:v>
                </c:pt>
                <c:pt idx="845">
                  <c:v>1.74</c:v>
                </c:pt>
                <c:pt idx="846">
                  <c:v>3.12</c:v>
                </c:pt>
                <c:pt idx="847">
                  <c:v>2.2999999999999998</c:v>
                </c:pt>
                <c:pt idx="848">
                  <c:v>1.71</c:v>
                </c:pt>
                <c:pt idx="849">
                  <c:v>1.46</c:v>
                </c:pt>
                <c:pt idx="850">
                  <c:v>1.28</c:v>
                </c:pt>
                <c:pt idx="851">
                  <c:v>1.3</c:v>
                </c:pt>
                <c:pt idx="852">
                  <c:v>1.05</c:v>
                </c:pt>
                <c:pt idx="853">
                  <c:v>0.94699999999999995</c:v>
                </c:pt>
                <c:pt idx="854">
                  <c:v>1.73</c:v>
                </c:pt>
                <c:pt idx="855">
                  <c:v>1.1299999999999999</c:v>
                </c:pt>
                <c:pt idx="856">
                  <c:v>1.1000000000000001</c:v>
                </c:pt>
                <c:pt idx="857">
                  <c:v>1.42</c:v>
                </c:pt>
                <c:pt idx="858">
                  <c:v>1.55</c:v>
                </c:pt>
                <c:pt idx="859">
                  <c:v>2.11</c:v>
                </c:pt>
                <c:pt idx="860">
                  <c:v>1.1499999999999999</c:v>
                </c:pt>
                <c:pt idx="861">
                  <c:v>1.36</c:v>
                </c:pt>
                <c:pt idx="862">
                  <c:v>1.72</c:v>
                </c:pt>
                <c:pt idx="863">
                  <c:v>2.13</c:v>
                </c:pt>
                <c:pt idx="864">
                  <c:v>4.03</c:v>
                </c:pt>
                <c:pt idx="865">
                  <c:v>0.95794999999999997</c:v>
                </c:pt>
                <c:pt idx="866">
                  <c:v>2.02</c:v>
                </c:pt>
                <c:pt idx="867">
                  <c:v>1.64</c:v>
                </c:pt>
                <c:pt idx="868">
                  <c:v>1.95</c:v>
                </c:pt>
                <c:pt idx="869">
                  <c:v>1.67</c:v>
                </c:pt>
                <c:pt idx="870">
                  <c:v>3.34</c:v>
                </c:pt>
                <c:pt idx="871">
                  <c:v>1.54</c:v>
                </c:pt>
                <c:pt idx="872">
                  <c:v>1.91</c:v>
                </c:pt>
                <c:pt idx="873">
                  <c:v>2.4500000000000002</c:v>
                </c:pt>
                <c:pt idx="874">
                  <c:v>1.9</c:v>
                </c:pt>
                <c:pt idx="875">
                  <c:v>1.49</c:v>
                </c:pt>
                <c:pt idx="876">
                  <c:v>1.1000000000000001</c:v>
                </c:pt>
                <c:pt idx="877">
                  <c:v>0.46479999999999999</c:v>
                </c:pt>
                <c:pt idx="878">
                  <c:v>1.71</c:v>
                </c:pt>
                <c:pt idx="879">
                  <c:v>3.64</c:v>
                </c:pt>
                <c:pt idx="880">
                  <c:v>1.3</c:v>
                </c:pt>
                <c:pt idx="881">
                  <c:v>1.93</c:v>
                </c:pt>
                <c:pt idx="882">
                  <c:v>1.06</c:v>
                </c:pt>
                <c:pt idx="883">
                  <c:v>1.9</c:v>
                </c:pt>
                <c:pt idx="884">
                  <c:v>2.98</c:v>
                </c:pt>
                <c:pt idx="885">
                  <c:v>1.63</c:v>
                </c:pt>
                <c:pt idx="886">
                  <c:v>1.18</c:v>
                </c:pt>
                <c:pt idx="887">
                  <c:v>1.23</c:v>
                </c:pt>
                <c:pt idx="888">
                  <c:v>2.46</c:v>
                </c:pt>
                <c:pt idx="889">
                  <c:v>1.28</c:v>
                </c:pt>
                <c:pt idx="890">
                  <c:v>1.76</c:v>
                </c:pt>
                <c:pt idx="891">
                  <c:v>1.48</c:v>
                </c:pt>
                <c:pt idx="892">
                  <c:v>2.0699999999999998</c:v>
                </c:pt>
                <c:pt idx="893">
                  <c:v>0.67930999999999997</c:v>
                </c:pt>
                <c:pt idx="894">
                  <c:v>0.87400999999999995</c:v>
                </c:pt>
                <c:pt idx="895">
                  <c:v>1.08</c:v>
                </c:pt>
                <c:pt idx="896">
                  <c:v>1.17</c:v>
                </c:pt>
                <c:pt idx="897">
                  <c:v>1.37</c:v>
                </c:pt>
                <c:pt idx="898">
                  <c:v>1.1399999999999999</c:v>
                </c:pt>
                <c:pt idx="899">
                  <c:v>0.79235</c:v>
                </c:pt>
                <c:pt idx="900">
                  <c:v>1.27</c:v>
                </c:pt>
                <c:pt idx="901">
                  <c:v>1.43</c:v>
                </c:pt>
                <c:pt idx="902">
                  <c:v>9.2200000000000006</c:v>
                </c:pt>
                <c:pt idx="903">
                  <c:v>2.76</c:v>
                </c:pt>
                <c:pt idx="904">
                  <c:v>0.85282999999999998</c:v>
                </c:pt>
                <c:pt idx="905">
                  <c:v>1.7</c:v>
                </c:pt>
                <c:pt idx="906">
                  <c:v>1.2</c:v>
                </c:pt>
                <c:pt idx="907">
                  <c:v>1.9</c:v>
                </c:pt>
                <c:pt idx="908">
                  <c:v>0.11853</c:v>
                </c:pt>
                <c:pt idx="909">
                  <c:v>1.1000000000000001</c:v>
                </c:pt>
                <c:pt idx="910">
                  <c:v>0.70204999999999995</c:v>
                </c:pt>
                <c:pt idx="911">
                  <c:v>1.22</c:v>
                </c:pt>
                <c:pt idx="912">
                  <c:v>1.32</c:v>
                </c:pt>
                <c:pt idx="913">
                  <c:v>1.7</c:v>
                </c:pt>
                <c:pt idx="914">
                  <c:v>1.18</c:v>
                </c:pt>
                <c:pt idx="915">
                  <c:v>1.62</c:v>
                </c:pt>
                <c:pt idx="916">
                  <c:v>1.26</c:v>
                </c:pt>
                <c:pt idx="917">
                  <c:v>2.44</c:v>
                </c:pt>
                <c:pt idx="918">
                  <c:v>1.37</c:v>
                </c:pt>
                <c:pt idx="919">
                  <c:v>1.1299999999999999</c:v>
                </c:pt>
                <c:pt idx="920">
                  <c:v>1.29</c:v>
                </c:pt>
                <c:pt idx="921">
                  <c:v>1.7</c:v>
                </c:pt>
                <c:pt idx="922">
                  <c:v>4.37</c:v>
                </c:pt>
                <c:pt idx="923">
                  <c:v>0.98243999999999998</c:v>
                </c:pt>
                <c:pt idx="924">
                  <c:v>0.94823000000000002</c:v>
                </c:pt>
                <c:pt idx="925">
                  <c:v>2.54</c:v>
                </c:pt>
                <c:pt idx="926">
                  <c:v>1.8</c:v>
                </c:pt>
                <c:pt idx="927">
                  <c:v>1.01</c:v>
                </c:pt>
                <c:pt idx="928">
                  <c:v>1.64</c:v>
                </c:pt>
                <c:pt idx="929">
                  <c:v>1.32</c:v>
                </c:pt>
                <c:pt idx="930">
                  <c:v>2.0699999999999998</c:v>
                </c:pt>
                <c:pt idx="931">
                  <c:v>1.31</c:v>
                </c:pt>
                <c:pt idx="932">
                  <c:v>3.39</c:v>
                </c:pt>
                <c:pt idx="933">
                  <c:v>2.06</c:v>
                </c:pt>
                <c:pt idx="934">
                  <c:v>1.72</c:v>
                </c:pt>
                <c:pt idx="935">
                  <c:v>3.23</c:v>
                </c:pt>
                <c:pt idx="936">
                  <c:v>2.2599999999999998</c:v>
                </c:pt>
                <c:pt idx="937">
                  <c:v>1.25</c:v>
                </c:pt>
                <c:pt idx="938">
                  <c:v>2.13</c:v>
                </c:pt>
                <c:pt idx="939">
                  <c:v>0.98839999999999995</c:v>
                </c:pt>
                <c:pt idx="940">
                  <c:v>1.66</c:v>
                </c:pt>
                <c:pt idx="941">
                  <c:v>2.0699999999999998</c:v>
                </c:pt>
                <c:pt idx="942">
                  <c:v>1.07</c:v>
                </c:pt>
                <c:pt idx="943">
                  <c:v>0.68364999999999998</c:v>
                </c:pt>
                <c:pt idx="944">
                  <c:v>1.03</c:v>
                </c:pt>
                <c:pt idx="945">
                  <c:v>0.55681999999999998</c:v>
                </c:pt>
                <c:pt idx="946">
                  <c:v>0.92418</c:v>
                </c:pt>
                <c:pt idx="947">
                  <c:v>1.88</c:v>
                </c:pt>
                <c:pt idx="948">
                  <c:v>0.55989</c:v>
                </c:pt>
                <c:pt idx="949">
                  <c:v>1.65</c:v>
                </c:pt>
                <c:pt idx="950">
                  <c:v>1.27</c:v>
                </c:pt>
                <c:pt idx="951">
                  <c:v>0.90042</c:v>
                </c:pt>
                <c:pt idx="952">
                  <c:v>0.92276999999999998</c:v>
                </c:pt>
                <c:pt idx="953">
                  <c:v>0.95335000000000003</c:v>
                </c:pt>
                <c:pt idx="954">
                  <c:v>2.4300000000000002</c:v>
                </c:pt>
                <c:pt idx="955">
                  <c:v>1.65</c:v>
                </c:pt>
                <c:pt idx="956">
                  <c:v>2.6</c:v>
                </c:pt>
                <c:pt idx="957">
                  <c:v>2.0499999999999998</c:v>
                </c:pt>
                <c:pt idx="958">
                  <c:v>1.22</c:v>
                </c:pt>
                <c:pt idx="959">
                  <c:v>2.76</c:v>
                </c:pt>
                <c:pt idx="960">
                  <c:v>1.33</c:v>
                </c:pt>
                <c:pt idx="961">
                  <c:v>1.38</c:v>
                </c:pt>
                <c:pt idx="962">
                  <c:v>1.84</c:v>
                </c:pt>
                <c:pt idx="963">
                  <c:v>2.66</c:v>
                </c:pt>
                <c:pt idx="964">
                  <c:v>3.41</c:v>
                </c:pt>
                <c:pt idx="965">
                  <c:v>1.69</c:v>
                </c:pt>
                <c:pt idx="966">
                  <c:v>2.48</c:v>
                </c:pt>
                <c:pt idx="967">
                  <c:v>1.89</c:v>
                </c:pt>
                <c:pt idx="968">
                  <c:v>0.69957999999999998</c:v>
                </c:pt>
                <c:pt idx="969">
                  <c:v>1.42</c:v>
                </c:pt>
                <c:pt idx="970">
                  <c:v>2.12</c:v>
                </c:pt>
                <c:pt idx="971">
                  <c:v>2.97</c:v>
                </c:pt>
                <c:pt idx="972">
                  <c:v>2.5299999999999998</c:v>
                </c:pt>
                <c:pt idx="973">
                  <c:v>1.99</c:v>
                </c:pt>
                <c:pt idx="974">
                  <c:v>1.36</c:v>
                </c:pt>
                <c:pt idx="975">
                  <c:v>1.1299999999999999</c:v>
                </c:pt>
                <c:pt idx="976">
                  <c:v>0.85560000000000003</c:v>
                </c:pt>
                <c:pt idx="977">
                  <c:v>1.33</c:v>
                </c:pt>
                <c:pt idx="978">
                  <c:v>1.39</c:v>
                </c:pt>
                <c:pt idx="979">
                  <c:v>1.34</c:v>
                </c:pt>
                <c:pt idx="980">
                  <c:v>1.33</c:v>
                </c:pt>
                <c:pt idx="981">
                  <c:v>1.1399999999999999</c:v>
                </c:pt>
                <c:pt idx="982">
                  <c:v>1.41</c:v>
                </c:pt>
                <c:pt idx="983">
                  <c:v>1.04</c:v>
                </c:pt>
                <c:pt idx="984">
                  <c:v>1.52</c:v>
                </c:pt>
                <c:pt idx="985">
                  <c:v>2.21</c:v>
                </c:pt>
                <c:pt idx="986">
                  <c:v>1.78</c:v>
                </c:pt>
                <c:pt idx="987">
                  <c:v>1.63</c:v>
                </c:pt>
                <c:pt idx="988">
                  <c:v>1.99</c:v>
                </c:pt>
                <c:pt idx="989">
                  <c:v>1.7</c:v>
                </c:pt>
                <c:pt idx="990">
                  <c:v>3.68</c:v>
                </c:pt>
                <c:pt idx="991">
                  <c:v>1.31</c:v>
                </c:pt>
                <c:pt idx="992">
                  <c:v>1.8</c:v>
                </c:pt>
                <c:pt idx="993">
                  <c:v>1.1499999999999999</c:v>
                </c:pt>
                <c:pt idx="994">
                  <c:v>1.86</c:v>
                </c:pt>
                <c:pt idx="995">
                  <c:v>1.74</c:v>
                </c:pt>
                <c:pt idx="996">
                  <c:v>1.24</c:v>
                </c:pt>
                <c:pt idx="997">
                  <c:v>1.33</c:v>
                </c:pt>
                <c:pt idx="998">
                  <c:v>1.53</c:v>
                </c:pt>
                <c:pt idx="999">
                  <c:v>1.85</c:v>
                </c:pt>
                <c:pt idx="1000">
                  <c:v>1.1100000000000001</c:v>
                </c:pt>
                <c:pt idx="1001">
                  <c:v>1.48</c:v>
                </c:pt>
                <c:pt idx="1002">
                  <c:v>1.34</c:v>
                </c:pt>
                <c:pt idx="1003">
                  <c:v>1.43</c:v>
                </c:pt>
                <c:pt idx="1004">
                  <c:v>2.15</c:v>
                </c:pt>
                <c:pt idx="1005">
                  <c:v>1.45</c:v>
                </c:pt>
                <c:pt idx="1006">
                  <c:v>2.23</c:v>
                </c:pt>
                <c:pt idx="1007">
                  <c:v>1.42</c:v>
                </c:pt>
                <c:pt idx="1008">
                  <c:v>3.75</c:v>
                </c:pt>
                <c:pt idx="1009">
                  <c:v>2.2799999999999998</c:v>
                </c:pt>
                <c:pt idx="1010">
                  <c:v>2.5</c:v>
                </c:pt>
                <c:pt idx="1011">
                  <c:v>1.35</c:v>
                </c:pt>
                <c:pt idx="1012">
                  <c:v>1.31</c:v>
                </c:pt>
                <c:pt idx="1013">
                  <c:v>1.1200000000000001</c:v>
                </c:pt>
                <c:pt idx="1014">
                  <c:v>3.44</c:v>
                </c:pt>
                <c:pt idx="1015">
                  <c:v>2.77</c:v>
                </c:pt>
                <c:pt idx="1016">
                  <c:v>2.99</c:v>
                </c:pt>
                <c:pt idx="1017">
                  <c:v>3.84</c:v>
                </c:pt>
                <c:pt idx="1018">
                  <c:v>3.04</c:v>
                </c:pt>
                <c:pt idx="1019">
                  <c:v>1.1299999999999999</c:v>
                </c:pt>
                <c:pt idx="1020">
                  <c:v>1.96</c:v>
                </c:pt>
                <c:pt idx="1021">
                  <c:v>1.48</c:v>
                </c:pt>
                <c:pt idx="1022">
                  <c:v>2.35</c:v>
                </c:pt>
                <c:pt idx="1023">
                  <c:v>2.23</c:v>
                </c:pt>
                <c:pt idx="1024">
                  <c:v>7.07</c:v>
                </c:pt>
                <c:pt idx="1025">
                  <c:v>2.86</c:v>
                </c:pt>
                <c:pt idx="1026">
                  <c:v>1.56</c:v>
                </c:pt>
                <c:pt idx="1027">
                  <c:v>1.9</c:v>
                </c:pt>
                <c:pt idx="1028">
                  <c:v>2.08</c:v>
                </c:pt>
                <c:pt idx="1029">
                  <c:v>1.95</c:v>
                </c:pt>
                <c:pt idx="1030">
                  <c:v>2.0699999999999998</c:v>
                </c:pt>
                <c:pt idx="1031">
                  <c:v>1.89</c:v>
                </c:pt>
                <c:pt idx="1032">
                  <c:v>1.61</c:v>
                </c:pt>
                <c:pt idx="1033">
                  <c:v>2.3199999999999998</c:v>
                </c:pt>
                <c:pt idx="1034">
                  <c:v>1.81</c:v>
                </c:pt>
                <c:pt idx="1035">
                  <c:v>1.27</c:v>
                </c:pt>
                <c:pt idx="1036">
                  <c:v>1.93</c:v>
                </c:pt>
                <c:pt idx="1037">
                  <c:v>1.57</c:v>
                </c:pt>
                <c:pt idx="1038">
                  <c:v>3.24</c:v>
                </c:pt>
                <c:pt idx="1039">
                  <c:v>1.47</c:v>
                </c:pt>
                <c:pt idx="1040">
                  <c:v>0.93666000000000005</c:v>
                </c:pt>
                <c:pt idx="1041">
                  <c:v>1.62</c:v>
                </c:pt>
                <c:pt idx="1042">
                  <c:v>1.57</c:v>
                </c:pt>
                <c:pt idx="1043">
                  <c:v>2.42</c:v>
                </c:pt>
                <c:pt idx="1044">
                  <c:v>0.84411999999999998</c:v>
                </c:pt>
                <c:pt idx="1045">
                  <c:v>0.89261999999999997</c:v>
                </c:pt>
                <c:pt idx="1046">
                  <c:v>1.87</c:v>
                </c:pt>
                <c:pt idx="1047">
                  <c:v>0.89751999999999998</c:v>
                </c:pt>
                <c:pt idx="1048">
                  <c:v>1.1100000000000001</c:v>
                </c:pt>
                <c:pt idx="1049">
                  <c:v>3.29</c:v>
                </c:pt>
                <c:pt idx="1050">
                  <c:v>1.18</c:v>
                </c:pt>
                <c:pt idx="1051">
                  <c:v>1.64</c:v>
                </c:pt>
                <c:pt idx="1052">
                  <c:v>3.29</c:v>
                </c:pt>
                <c:pt idx="1053">
                  <c:v>1.79</c:v>
                </c:pt>
                <c:pt idx="1054">
                  <c:v>0.99748999999999999</c:v>
                </c:pt>
                <c:pt idx="1055">
                  <c:v>1.29</c:v>
                </c:pt>
                <c:pt idx="1056">
                  <c:v>1.78</c:v>
                </c:pt>
                <c:pt idx="1057">
                  <c:v>1.98</c:v>
                </c:pt>
                <c:pt idx="1058">
                  <c:v>3.34</c:v>
                </c:pt>
                <c:pt idx="1059">
                  <c:v>1.74</c:v>
                </c:pt>
                <c:pt idx="1060">
                  <c:v>1.1100000000000001</c:v>
                </c:pt>
                <c:pt idx="1061">
                  <c:v>1.1200000000000001</c:v>
                </c:pt>
                <c:pt idx="1062">
                  <c:v>2.06</c:v>
                </c:pt>
                <c:pt idx="1063">
                  <c:v>1.21</c:v>
                </c:pt>
                <c:pt idx="1064">
                  <c:v>2.69</c:v>
                </c:pt>
                <c:pt idx="1065">
                  <c:v>0.84286000000000005</c:v>
                </c:pt>
                <c:pt idx="1066">
                  <c:v>2.44</c:v>
                </c:pt>
                <c:pt idx="1067">
                  <c:v>1.05</c:v>
                </c:pt>
                <c:pt idx="1068">
                  <c:v>1.87</c:v>
                </c:pt>
                <c:pt idx="1069">
                  <c:v>1.05</c:v>
                </c:pt>
                <c:pt idx="1070">
                  <c:v>1.4</c:v>
                </c:pt>
                <c:pt idx="1071">
                  <c:v>0.75990999999999997</c:v>
                </c:pt>
                <c:pt idx="1072">
                  <c:v>1.1299999999999999</c:v>
                </c:pt>
                <c:pt idx="1073">
                  <c:v>1.06</c:v>
                </c:pt>
                <c:pt idx="1074">
                  <c:v>1.24</c:v>
                </c:pt>
                <c:pt idx="1075">
                  <c:v>2.7</c:v>
                </c:pt>
                <c:pt idx="1076">
                  <c:v>1.47</c:v>
                </c:pt>
                <c:pt idx="1077">
                  <c:v>1.74</c:v>
                </c:pt>
                <c:pt idx="1078">
                  <c:v>1.05</c:v>
                </c:pt>
                <c:pt idx="1079">
                  <c:v>7.24</c:v>
                </c:pt>
                <c:pt idx="1080">
                  <c:v>2.4300000000000002</c:v>
                </c:pt>
                <c:pt idx="1081">
                  <c:v>1.7</c:v>
                </c:pt>
                <c:pt idx="1082">
                  <c:v>1.28</c:v>
                </c:pt>
                <c:pt idx="1083">
                  <c:v>0.80747000000000002</c:v>
                </c:pt>
                <c:pt idx="1084">
                  <c:v>0.77110999999999996</c:v>
                </c:pt>
                <c:pt idx="1085">
                  <c:v>1.17</c:v>
                </c:pt>
                <c:pt idx="1086">
                  <c:v>0.86163000000000001</c:v>
                </c:pt>
                <c:pt idx="1087">
                  <c:v>1.32</c:v>
                </c:pt>
                <c:pt idx="1088">
                  <c:v>0.69398000000000004</c:v>
                </c:pt>
                <c:pt idx="1089">
                  <c:v>0.76939000000000002</c:v>
                </c:pt>
                <c:pt idx="1090">
                  <c:v>0.98799999999999999</c:v>
                </c:pt>
                <c:pt idx="1091">
                  <c:v>0.73228000000000004</c:v>
                </c:pt>
                <c:pt idx="1092">
                  <c:v>1.22</c:v>
                </c:pt>
                <c:pt idx="1093">
                  <c:v>5.51</c:v>
                </c:pt>
                <c:pt idx="1094">
                  <c:v>4.26</c:v>
                </c:pt>
                <c:pt idx="1095">
                  <c:v>1.29</c:v>
                </c:pt>
                <c:pt idx="1096">
                  <c:v>0.75636000000000003</c:v>
                </c:pt>
                <c:pt idx="1097">
                  <c:v>0.88549</c:v>
                </c:pt>
                <c:pt idx="1098">
                  <c:v>0.84714999999999996</c:v>
                </c:pt>
                <c:pt idx="1099">
                  <c:v>0.83979000000000004</c:v>
                </c:pt>
                <c:pt idx="1100">
                  <c:v>0.99243999999999999</c:v>
                </c:pt>
                <c:pt idx="1101">
                  <c:v>1.41</c:v>
                </c:pt>
                <c:pt idx="1102">
                  <c:v>0.9698</c:v>
                </c:pt>
                <c:pt idx="1103">
                  <c:v>1.1000000000000001</c:v>
                </c:pt>
                <c:pt idx="1104">
                  <c:v>3.09</c:v>
                </c:pt>
                <c:pt idx="1105">
                  <c:v>1.4</c:v>
                </c:pt>
                <c:pt idx="1106">
                  <c:v>3.16</c:v>
                </c:pt>
                <c:pt idx="1107">
                  <c:v>2.2400000000000002</c:v>
                </c:pt>
                <c:pt idx="1108">
                  <c:v>1.22</c:v>
                </c:pt>
                <c:pt idx="1109">
                  <c:v>0.66759999999999997</c:v>
                </c:pt>
                <c:pt idx="1110">
                  <c:v>4.3499999999999996</c:v>
                </c:pt>
                <c:pt idx="1111">
                  <c:v>3.2</c:v>
                </c:pt>
                <c:pt idx="1112">
                  <c:v>1.97</c:v>
                </c:pt>
                <c:pt idx="1113">
                  <c:v>1.1000000000000001</c:v>
                </c:pt>
                <c:pt idx="1114">
                  <c:v>1.53</c:v>
                </c:pt>
                <c:pt idx="1115">
                  <c:v>1.01</c:v>
                </c:pt>
                <c:pt idx="1116">
                  <c:v>2.4900000000000002</c:v>
                </c:pt>
                <c:pt idx="1117">
                  <c:v>0.94488000000000005</c:v>
                </c:pt>
                <c:pt idx="1118">
                  <c:v>0.90341000000000005</c:v>
                </c:pt>
                <c:pt idx="1119">
                  <c:v>1.61</c:v>
                </c:pt>
                <c:pt idx="1120">
                  <c:v>1.03</c:v>
                </c:pt>
                <c:pt idx="1121">
                  <c:v>1.21</c:v>
                </c:pt>
                <c:pt idx="1122">
                  <c:v>1.37</c:v>
                </c:pt>
                <c:pt idx="1123">
                  <c:v>0.75275000000000003</c:v>
                </c:pt>
                <c:pt idx="1124">
                  <c:v>1.04</c:v>
                </c:pt>
                <c:pt idx="1125">
                  <c:v>0.97024999999999995</c:v>
                </c:pt>
                <c:pt idx="1126">
                  <c:v>1.55</c:v>
                </c:pt>
                <c:pt idx="1127">
                  <c:v>2.21</c:v>
                </c:pt>
                <c:pt idx="1128">
                  <c:v>1.17</c:v>
                </c:pt>
                <c:pt idx="1129">
                  <c:v>1.43</c:v>
                </c:pt>
                <c:pt idx="1130">
                  <c:v>1.88</c:v>
                </c:pt>
                <c:pt idx="1131">
                  <c:v>1.62</c:v>
                </c:pt>
                <c:pt idx="1132">
                  <c:v>0.88561000000000001</c:v>
                </c:pt>
                <c:pt idx="1133">
                  <c:v>2.4</c:v>
                </c:pt>
                <c:pt idx="1134">
                  <c:v>1.68</c:v>
                </c:pt>
                <c:pt idx="1135">
                  <c:v>1.48</c:v>
                </c:pt>
                <c:pt idx="1136">
                  <c:v>1.24</c:v>
                </c:pt>
                <c:pt idx="1137">
                  <c:v>0.81891999999999998</c:v>
                </c:pt>
                <c:pt idx="1138">
                  <c:v>1.29</c:v>
                </c:pt>
                <c:pt idx="1139">
                  <c:v>1.23</c:v>
                </c:pt>
                <c:pt idx="1140">
                  <c:v>1.26</c:v>
                </c:pt>
                <c:pt idx="1141">
                  <c:v>1.02</c:v>
                </c:pt>
                <c:pt idx="1142">
                  <c:v>1.1100000000000001</c:v>
                </c:pt>
                <c:pt idx="1143">
                  <c:v>1.46</c:v>
                </c:pt>
                <c:pt idx="1144">
                  <c:v>0.88107000000000002</c:v>
                </c:pt>
                <c:pt idx="1145">
                  <c:v>1.45</c:v>
                </c:pt>
                <c:pt idx="1146">
                  <c:v>2.0499999999999998</c:v>
                </c:pt>
                <c:pt idx="1147">
                  <c:v>1.01</c:v>
                </c:pt>
                <c:pt idx="1148">
                  <c:v>8.2019999999999996E-2</c:v>
                </c:pt>
                <c:pt idx="1149">
                  <c:v>3.39</c:v>
                </c:pt>
                <c:pt idx="1150">
                  <c:v>3.11</c:v>
                </c:pt>
                <c:pt idx="1151">
                  <c:v>2.13</c:v>
                </c:pt>
                <c:pt idx="1152">
                  <c:v>2.29</c:v>
                </c:pt>
                <c:pt idx="1153">
                  <c:v>1.87</c:v>
                </c:pt>
                <c:pt idx="1154">
                  <c:v>1.2</c:v>
                </c:pt>
                <c:pt idx="1155">
                  <c:v>1.4</c:v>
                </c:pt>
                <c:pt idx="1156">
                  <c:v>1.05</c:v>
                </c:pt>
                <c:pt idx="1157">
                  <c:v>1.25</c:v>
                </c:pt>
                <c:pt idx="1158">
                  <c:v>1.33</c:v>
                </c:pt>
                <c:pt idx="1159">
                  <c:v>0.81789999999999996</c:v>
                </c:pt>
                <c:pt idx="1160">
                  <c:v>0.78056000000000003</c:v>
                </c:pt>
                <c:pt idx="1161">
                  <c:v>1.42</c:v>
                </c:pt>
                <c:pt idx="1162">
                  <c:v>1.68</c:v>
                </c:pt>
                <c:pt idx="1163">
                  <c:v>1.26</c:v>
                </c:pt>
                <c:pt idx="1164">
                  <c:v>0.97597</c:v>
                </c:pt>
                <c:pt idx="1165">
                  <c:v>0.92003999999999997</c:v>
                </c:pt>
                <c:pt idx="1166">
                  <c:v>1.23</c:v>
                </c:pt>
                <c:pt idx="1167">
                  <c:v>1.47</c:v>
                </c:pt>
                <c:pt idx="1168">
                  <c:v>1.4</c:v>
                </c:pt>
                <c:pt idx="1169">
                  <c:v>1.84</c:v>
                </c:pt>
                <c:pt idx="1170">
                  <c:v>4.09</c:v>
                </c:pt>
                <c:pt idx="1171">
                  <c:v>1.24</c:v>
                </c:pt>
                <c:pt idx="1172">
                  <c:v>1.24</c:v>
                </c:pt>
                <c:pt idx="1173">
                  <c:v>1.87</c:v>
                </c:pt>
                <c:pt idx="1174">
                  <c:v>0.97323000000000004</c:v>
                </c:pt>
                <c:pt idx="1175">
                  <c:v>1.92</c:v>
                </c:pt>
                <c:pt idx="1176">
                  <c:v>2.1800000000000002</c:v>
                </c:pt>
                <c:pt idx="1177">
                  <c:v>3.54</c:v>
                </c:pt>
                <c:pt idx="1178">
                  <c:v>2.59</c:v>
                </c:pt>
                <c:pt idx="1179">
                  <c:v>4.01</c:v>
                </c:pt>
                <c:pt idx="1180">
                  <c:v>1.9</c:v>
                </c:pt>
                <c:pt idx="1181">
                  <c:v>1.47</c:v>
                </c:pt>
                <c:pt idx="1182">
                  <c:v>2.86</c:v>
                </c:pt>
                <c:pt idx="1183">
                  <c:v>1.1100000000000001</c:v>
                </c:pt>
                <c:pt idx="1184">
                  <c:v>3.2</c:v>
                </c:pt>
                <c:pt idx="1185">
                  <c:v>1.27</c:v>
                </c:pt>
                <c:pt idx="1186">
                  <c:v>1.26</c:v>
                </c:pt>
                <c:pt idx="1187">
                  <c:v>0.80810000000000004</c:v>
                </c:pt>
                <c:pt idx="1188">
                  <c:v>1.06</c:v>
                </c:pt>
                <c:pt idx="1189">
                  <c:v>1.24</c:v>
                </c:pt>
                <c:pt idx="1190">
                  <c:v>0.79076999999999997</c:v>
                </c:pt>
                <c:pt idx="1191">
                  <c:v>1.1299999999999999</c:v>
                </c:pt>
                <c:pt idx="1192">
                  <c:v>0.51937999999999995</c:v>
                </c:pt>
                <c:pt idx="1193">
                  <c:v>0.53363000000000005</c:v>
                </c:pt>
                <c:pt idx="1194">
                  <c:v>1.0900000000000001</c:v>
                </c:pt>
                <c:pt idx="1195">
                  <c:v>1.56</c:v>
                </c:pt>
                <c:pt idx="1196">
                  <c:v>1.32</c:v>
                </c:pt>
                <c:pt idx="1197">
                  <c:v>0.75887000000000004</c:v>
                </c:pt>
                <c:pt idx="1198">
                  <c:v>0.97341</c:v>
                </c:pt>
                <c:pt idx="1199">
                  <c:v>1.34</c:v>
                </c:pt>
                <c:pt idx="1200">
                  <c:v>1.58</c:v>
                </c:pt>
                <c:pt idx="1201">
                  <c:v>0.89268999999999998</c:v>
                </c:pt>
                <c:pt idx="1202">
                  <c:v>1.1599999999999999</c:v>
                </c:pt>
                <c:pt idx="1203">
                  <c:v>1.19</c:v>
                </c:pt>
                <c:pt idx="1204">
                  <c:v>1.06</c:v>
                </c:pt>
                <c:pt idx="1205">
                  <c:v>1.52</c:v>
                </c:pt>
                <c:pt idx="1206">
                  <c:v>1.03</c:v>
                </c:pt>
                <c:pt idx="1207">
                  <c:v>1.37</c:v>
                </c:pt>
                <c:pt idx="1208">
                  <c:v>1.51</c:v>
                </c:pt>
                <c:pt idx="1209">
                  <c:v>1.46</c:v>
                </c:pt>
                <c:pt idx="1210">
                  <c:v>1.02</c:v>
                </c:pt>
                <c:pt idx="1211">
                  <c:v>1.75</c:v>
                </c:pt>
                <c:pt idx="1212">
                  <c:v>1.38</c:v>
                </c:pt>
                <c:pt idx="1213">
                  <c:v>2.06</c:v>
                </c:pt>
                <c:pt idx="1214">
                  <c:v>1.8</c:v>
                </c:pt>
                <c:pt idx="1215">
                  <c:v>1.48</c:v>
                </c:pt>
                <c:pt idx="1216">
                  <c:v>2.09</c:v>
                </c:pt>
                <c:pt idx="1217">
                  <c:v>0.78037999999999996</c:v>
                </c:pt>
                <c:pt idx="1218">
                  <c:v>1.38</c:v>
                </c:pt>
                <c:pt idx="1219">
                  <c:v>1.55</c:v>
                </c:pt>
                <c:pt idx="1220">
                  <c:v>1.23</c:v>
                </c:pt>
                <c:pt idx="1221">
                  <c:v>1.96</c:v>
                </c:pt>
                <c:pt idx="1222">
                  <c:v>1.42</c:v>
                </c:pt>
                <c:pt idx="1223">
                  <c:v>0.95848</c:v>
                </c:pt>
                <c:pt idx="1224">
                  <c:v>0.79252999999999996</c:v>
                </c:pt>
                <c:pt idx="1225">
                  <c:v>1.1399999999999999</c:v>
                </c:pt>
                <c:pt idx="1226">
                  <c:v>4.66</c:v>
                </c:pt>
                <c:pt idx="1227">
                  <c:v>2.79</c:v>
                </c:pt>
                <c:pt idx="1228">
                  <c:v>2.04</c:v>
                </c:pt>
                <c:pt idx="1229">
                  <c:v>1.23</c:v>
                </c:pt>
                <c:pt idx="1230">
                  <c:v>0.83079000000000003</c:v>
                </c:pt>
                <c:pt idx="1231">
                  <c:v>0.94018000000000002</c:v>
                </c:pt>
                <c:pt idx="1232">
                  <c:v>1.72</c:v>
                </c:pt>
                <c:pt idx="1233">
                  <c:v>1.3</c:v>
                </c:pt>
                <c:pt idx="1234">
                  <c:v>1.54</c:v>
                </c:pt>
                <c:pt idx="1235">
                  <c:v>1.1599999999999999</c:v>
                </c:pt>
                <c:pt idx="1236">
                  <c:v>1.47</c:v>
                </c:pt>
                <c:pt idx="1237">
                  <c:v>3.05</c:v>
                </c:pt>
                <c:pt idx="1238">
                  <c:v>2.27</c:v>
                </c:pt>
                <c:pt idx="1239">
                  <c:v>2.65</c:v>
                </c:pt>
              </c:numCache>
            </c:numRef>
          </c:val>
        </c:ser>
        <c:axId val="111349120"/>
        <c:axId val="111363200"/>
      </c:areaChart>
      <c:dateAx>
        <c:axId val="111349120"/>
        <c:scaling>
          <c:orientation val="minMax"/>
        </c:scaling>
        <c:axPos val="b"/>
        <c:numFmt formatCode="yyyy" sourceLinked="0"/>
        <c:tickLblPos val="nextTo"/>
        <c:crossAx val="111363200"/>
        <c:crosses val="autoZero"/>
        <c:auto val="1"/>
        <c:lblOffset val="100"/>
        <c:majorUnit val="6"/>
        <c:majorTimeUnit val="months"/>
      </c:dateAx>
      <c:valAx>
        <c:axId val="111363200"/>
        <c:scaling>
          <c:orientation val="minMax"/>
          <c:max val="5"/>
          <c:min val="0"/>
        </c:scaling>
        <c:axPos val="l"/>
        <c:numFmt formatCode="0.00&quot;M&quot;" sourceLinked="0"/>
        <c:tickLblPos val="nextTo"/>
        <c:crossAx val="111349120"/>
        <c:crosses val="autoZero"/>
        <c:crossBetween val="midCat"/>
      </c:valAx>
      <c:spPr>
        <a:noFill/>
        <a:ln w="25400">
          <a:noFill/>
        </a:ln>
      </c:spPr>
    </c:plotArea>
    <c:plotVisOnly val="1"/>
  </c:chart>
  <c:spPr>
    <a:noFill/>
    <a:ln>
      <a:noFill/>
    </a:ln>
  </c:spPr>
  <c:txPr>
    <a:bodyPr/>
    <a:lstStyle/>
    <a:p>
      <a:pPr>
        <a:defRPr sz="500" baseline="0"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chart>
    <c:autoTitleDeleted val="1"/>
    <c:plotArea>
      <c:layout>
        <c:manualLayout>
          <c:layoutTarget val="inner"/>
          <c:xMode val="edge"/>
          <c:yMode val="edge"/>
          <c:x val="0.25162053751321894"/>
          <c:y val="6.970719101748013E-2"/>
          <c:w val="0.66078606041142962"/>
          <c:h val="0.79160881154447194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002060"/>
            </a:solidFill>
          </c:spPr>
          <c:dPt>
            <c:idx val="1"/>
            <c:spPr>
              <a:solidFill>
                <a:schemeClr val="accent5">
                  <a:lumMod val="60000"/>
                  <a:lumOff val="40000"/>
                </a:schemeClr>
              </a:solidFill>
            </c:spPr>
          </c:dPt>
          <c:dPt>
            <c:idx val="2"/>
            <c:spPr>
              <a:solidFill>
                <a:schemeClr val="accent1">
                  <a:lumMod val="75000"/>
                </a:schemeClr>
              </a:solidFill>
            </c:spPr>
          </c:dPt>
          <c:dPt>
            <c:idx val="3"/>
            <c:spPr>
              <a:solidFill>
                <a:schemeClr val="accent1"/>
              </a:solidFill>
            </c:spPr>
          </c:dPt>
          <c:dLbls>
            <c:dLbl>
              <c:idx val="1"/>
              <c:layout>
                <c:manualLayout>
                  <c:x val="-0.1263889023646953"/>
                  <c:y val="0"/>
                </c:manualLayout>
              </c:layout>
              <c:spPr/>
              <c:txPr>
                <a:bodyPr/>
                <a:lstStyle/>
                <a:p>
                  <a:pPr>
                    <a:defRPr sz="400" b="1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dLblPos val="outEnd"/>
              <c:showVal val="1"/>
            </c:dLbl>
            <c:dLbl>
              <c:idx val="2"/>
              <c:layout>
                <c:manualLayout>
                  <c:x val="-0.16198625023267421"/>
                  <c:y val="0"/>
                </c:manualLayout>
              </c:layout>
              <c:dLblPos val="outEnd"/>
              <c:showVal val="1"/>
            </c:dLbl>
            <c:dLbl>
              <c:idx val="3"/>
              <c:layout>
                <c:manualLayout>
                  <c:x val="-0.12997400590446134"/>
                  <c:y val="0"/>
                </c:manualLayout>
              </c:layout>
              <c:dLblPos val="outEnd"/>
              <c:showVal val="1"/>
            </c:dLbl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'Raw Data'!$G$1171:$G$1174</c:f>
              <c:strCache>
                <c:ptCount val="4"/>
                <c:pt idx="0">
                  <c:v>Promoter</c:v>
                </c:pt>
                <c:pt idx="1">
                  <c:v>FII</c:v>
                </c:pt>
                <c:pt idx="2">
                  <c:v>DII</c:v>
                </c:pt>
                <c:pt idx="3">
                  <c:v>Public &amp; Government</c:v>
                </c:pt>
              </c:strCache>
            </c:strRef>
          </c:cat>
          <c:val>
            <c:numRef>
              <c:f>'Raw Data'!$H$1171:$H$1174</c:f>
              <c:numCache>
                <c:formatCode>0.00%</c:formatCode>
                <c:ptCount val="4"/>
                <c:pt idx="0">
                  <c:v>0.61899999999999999</c:v>
                </c:pt>
                <c:pt idx="1">
                  <c:v>0.1071</c:v>
                </c:pt>
                <c:pt idx="2">
                  <c:v>0.15679999999999999</c:v>
                </c:pt>
                <c:pt idx="3">
                  <c:v>0.11710000000000001</c:v>
                </c:pt>
              </c:numCache>
            </c:numRef>
          </c:val>
        </c:ser>
        <c:gapWidth val="75"/>
        <c:overlap val="40"/>
        <c:axId val="111409408"/>
        <c:axId val="144777216"/>
      </c:barChart>
      <c:catAx>
        <c:axId val="111409408"/>
        <c:scaling>
          <c:orientation val="minMax"/>
        </c:scaling>
        <c:axPos val="l"/>
        <c:majorTickMark val="none"/>
        <c:tickLblPos val="nextTo"/>
        <c:crossAx val="144777216"/>
        <c:crosses val="autoZero"/>
        <c:auto val="1"/>
        <c:lblAlgn val="ctr"/>
        <c:lblOffset val="100"/>
      </c:catAx>
      <c:valAx>
        <c:axId val="144777216"/>
        <c:scaling>
          <c:orientation val="minMax"/>
        </c:scaling>
        <c:axPos val="b"/>
        <c:numFmt formatCode="0.00%" sourceLinked="1"/>
        <c:majorTickMark val="none"/>
        <c:tickLblPos val="nextTo"/>
        <c:crossAx val="111409408"/>
        <c:crosses val="autoZero"/>
        <c:crossBetween val="between"/>
      </c:valAx>
      <c:spPr>
        <a:noFill/>
        <a:ln w="25400">
          <a:noFill/>
        </a:ln>
      </c:spPr>
    </c:plotArea>
    <c:plotVisOnly val="1"/>
  </c:chart>
  <c:spPr>
    <a:ln>
      <a:noFill/>
    </a:ln>
  </c:spPr>
  <c:txPr>
    <a:bodyPr/>
    <a:lstStyle/>
    <a:p>
      <a:pPr>
        <a:defRPr sz="500" baseline="0"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chart>
    <c:autoTitleDeleted val="1"/>
    <c:plotArea>
      <c:layout/>
      <c:areaChart>
        <c:grouping val="standard"/>
        <c:ser>
          <c:idx val="0"/>
          <c:order val="0"/>
          <c:tx>
            <c:strRef>
              <c:f>'Raw Data'!$C$2</c:f>
              <c:strCache>
                <c:ptCount val="1"/>
                <c:pt idx="0">
                  <c:v>VOL</c:v>
                </c:pt>
              </c:strCache>
            </c:strRef>
          </c:tx>
          <c:cat>
            <c:numRef>
              <c:f>'Raw Data'!$B$3:$B$1242</c:f>
              <c:numCache>
                <c:formatCode>dd/mm/yyyy</c:formatCode>
                <c:ptCount val="1240"/>
                <c:pt idx="0">
                  <c:v>44259</c:v>
                </c:pt>
                <c:pt idx="1">
                  <c:v>44260</c:v>
                </c:pt>
                <c:pt idx="2">
                  <c:v>44263</c:v>
                </c:pt>
                <c:pt idx="3">
                  <c:v>44264</c:v>
                </c:pt>
                <c:pt idx="4">
                  <c:v>44265</c:v>
                </c:pt>
                <c:pt idx="5">
                  <c:v>44267</c:v>
                </c:pt>
                <c:pt idx="6">
                  <c:v>44270</c:v>
                </c:pt>
                <c:pt idx="7">
                  <c:v>44271</c:v>
                </c:pt>
                <c:pt idx="8">
                  <c:v>44272</c:v>
                </c:pt>
                <c:pt idx="9">
                  <c:v>44273</c:v>
                </c:pt>
                <c:pt idx="10">
                  <c:v>44274</c:v>
                </c:pt>
                <c:pt idx="11">
                  <c:v>44277</c:v>
                </c:pt>
                <c:pt idx="12">
                  <c:v>44278</c:v>
                </c:pt>
                <c:pt idx="13">
                  <c:v>44279</c:v>
                </c:pt>
                <c:pt idx="14">
                  <c:v>44280</c:v>
                </c:pt>
                <c:pt idx="15">
                  <c:v>44281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44291</c:v>
                </c:pt>
                <c:pt idx="20">
                  <c:v>44292</c:v>
                </c:pt>
                <c:pt idx="21">
                  <c:v>44293</c:v>
                </c:pt>
                <c:pt idx="22">
                  <c:v>44294</c:v>
                </c:pt>
                <c:pt idx="23">
                  <c:v>44295</c:v>
                </c:pt>
                <c:pt idx="24">
                  <c:v>44298</c:v>
                </c:pt>
                <c:pt idx="25">
                  <c:v>44299</c:v>
                </c:pt>
                <c:pt idx="26">
                  <c:v>44301</c:v>
                </c:pt>
                <c:pt idx="27">
                  <c:v>44302</c:v>
                </c:pt>
                <c:pt idx="28">
                  <c:v>44305</c:v>
                </c:pt>
                <c:pt idx="29">
                  <c:v>44306</c:v>
                </c:pt>
                <c:pt idx="30">
                  <c:v>44308</c:v>
                </c:pt>
                <c:pt idx="31">
                  <c:v>44309</c:v>
                </c:pt>
                <c:pt idx="32">
                  <c:v>44312</c:v>
                </c:pt>
                <c:pt idx="33">
                  <c:v>44313</c:v>
                </c:pt>
                <c:pt idx="34">
                  <c:v>44314</c:v>
                </c:pt>
                <c:pt idx="35">
                  <c:v>44315</c:v>
                </c:pt>
                <c:pt idx="36">
                  <c:v>44316</c:v>
                </c:pt>
                <c:pt idx="37">
                  <c:v>44319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44330</c:v>
                </c:pt>
                <c:pt idx="46">
                  <c:v>44333</c:v>
                </c:pt>
                <c:pt idx="47">
                  <c:v>44334</c:v>
                </c:pt>
                <c:pt idx="48">
                  <c:v>44335</c:v>
                </c:pt>
                <c:pt idx="49">
                  <c:v>44336</c:v>
                </c:pt>
                <c:pt idx="50">
                  <c:v>44337</c:v>
                </c:pt>
                <c:pt idx="51">
                  <c:v>44340</c:v>
                </c:pt>
                <c:pt idx="52">
                  <c:v>44341</c:v>
                </c:pt>
                <c:pt idx="53">
                  <c:v>44342</c:v>
                </c:pt>
                <c:pt idx="54">
                  <c:v>44343</c:v>
                </c:pt>
                <c:pt idx="55">
                  <c:v>44344</c:v>
                </c:pt>
                <c:pt idx="56">
                  <c:v>44347</c:v>
                </c:pt>
                <c:pt idx="57">
                  <c:v>44348</c:v>
                </c:pt>
                <c:pt idx="58">
                  <c:v>44349</c:v>
                </c:pt>
                <c:pt idx="59">
                  <c:v>44350</c:v>
                </c:pt>
                <c:pt idx="60">
                  <c:v>44351</c:v>
                </c:pt>
                <c:pt idx="61">
                  <c:v>44354</c:v>
                </c:pt>
                <c:pt idx="62">
                  <c:v>44355</c:v>
                </c:pt>
                <c:pt idx="63">
                  <c:v>44356</c:v>
                </c:pt>
                <c:pt idx="64">
                  <c:v>44357</c:v>
                </c:pt>
                <c:pt idx="65">
                  <c:v>44358</c:v>
                </c:pt>
                <c:pt idx="66">
                  <c:v>44361</c:v>
                </c:pt>
                <c:pt idx="67">
                  <c:v>44362</c:v>
                </c:pt>
                <c:pt idx="68">
                  <c:v>44363</c:v>
                </c:pt>
                <c:pt idx="69">
                  <c:v>44364</c:v>
                </c:pt>
                <c:pt idx="70">
                  <c:v>44365</c:v>
                </c:pt>
                <c:pt idx="71">
                  <c:v>44368</c:v>
                </c:pt>
                <c:pt idx="72">
                  <c:v>44369</c:v>
                </c:pt>
                <c:pt idx="73">
                  <c:v>44370</c:v>
                </c:pt>
                <c:pt idx="74">
                  <c:v>44371</c:v>
                </c:pt>
                <c:pt idx="75">
                  <c:v>44372</c:v>
                </c:pt>
                <c:pt idx="76">
                  <c:v>44375</c:v>
                </c:pt>
                <c:pt idx="77">
                  <c:v>44376</c:v>
                </c:pt>
                <c:pt idx="78">
                  <c:v>44377</c:v>
                </c:pt>
                <c:pt idx="79">
                  <c:v>44378</c:v>
                </c:pt>
                <c:pt idx="80">
                  <c:v>44379</c:v>
                </c:pt>
                <c:pt idx="81">
                  <c:v>44382</c:v>
                </c:pt>
                <c:pt idx="82">
                  <c:v>44383</c:v>
                </c:pt>
                <c:pt idx="83">
                  <c:v>44384</c:v>
                </c:pt>
                <c:pt idx="84">
                  <c:v>44385</c:v>
                </c:pt>
                <c:pt idx="85">
                  <c:v>44386</c:v>
                </c:pt>
                <c:pt idx="86">
                  <c:v>44389</c:v>
                </c:pt>
                <c:pt idx="87">
                  <c:v>44390</c:v>
                </c:pt>
                <c:pt idx="88">
                  <c:v>44391</c:v>
                </c:pt>
                <c:pt idx="89">
                  <c:v>44392</c:v>
                </c:pt>
                <c:pt idx="90">
                  <c:v>44393</c:v>
                </c:pt>
                <c:pt idx="91">
                  <c:v>44396</c:v>
                </c:pt>
                <c:pt idx="92">
                  <c:v>44397</c:v>
                </c:pt>
                <c:pt idx="93">
                  <c:v>44399</c:v>
                </c:pt>
                <c:pt idx="94">
                  <c:v>44400</c:v>
                </c:pt>
                <c:pt idx="95">
                  <c:v>44403</c:v>
                </c:pt>
                <c:pt idx="96">
                  <c:v>44404</c:v>
                </c:pt>
                <c:pt idx="97">
                  <c:v>44405</c:v>
                </c:pt>
                <c:pt idx="98">
                  <c:v>44406</c:v>
                </c:pt>
                <c:pt idx="99">
                  <c:v>44407</c:v>
                </c:pt>
                <c:pt idx="100">
                  <c:v>44410</c:v>
                </c:pt>
                <c:pt idx="101">
                  <c:v>44411</c:v>
                </c:pt>
                <c:pt idx="102">
                  <c:v>44412</c:v>
                </c:pt>
                <c:pt idx="103">
                  <c:v>44413</c:v>
                </c:pt>
                <c:pt idx="104">
                  <c:v>44414</c:v>
                </c:pt>
                <c:pt idx="105">
                  <c:v>44417</c:v>
                </c:pt>
                <c:pt idx="106">
                  <c:v>44418</c:v>
                </c:pt>
                <c:pt idx="107">
                  <c:v>44419</c:v>
                </c:pt>
                <c:pt idx="108">
                  <c:v>44420</c:v>
                </c:pt>
                <c:pt idx="109">
                  <c:v>44421</c:v>
                </c:pt>
                <c:pt idx="110">
                  <c:v>44424</c:v>
                </c:pt>
                <c:pt idx="111">
                  <c:v>44425</c:v>
                </c:pt>
                <c:pt idx="112">
                  <c:v>44426</c:v>
                </c:pt>
                <c:pt idx="113">
                  <c:v>44428</c:v>
                </c:pt>
                <c:pt idx="114">
                  <c:v>44431</c:v>
                </c:pt>
                <c:pt idx="115">
                  <c:v>44432</c:v>
                </c:pt>
                <c:pt idx="116">
                  <c:v>44433</c:v>
                </c:pt>
                <c:pt idx="117">
                  <c:v>44434</c:v>
                </c:pt>
                <c:pt idx="118">
                  <c:v>44435</c:v>
                </c:pt>
                <c:pt idx="119">
                  <c:v>44438</c:v>
                </c:pt>
                <c:pt idx="120">
                  <c:v>44439</c:v>
                </c:pt>
                <c:pt idx="121">
                  <c:v>44440</c:v>
                </c:pt>
                <c:pt idx="122">
                  <c:v>44441</c:v>
                </c:pt>
                <c:pt idx="123">
                  <c:v>44442</c:v>
                </c:pt>
                <c:pt idx="124">
                  <c:v>44445</c:v>
                </c:pt>
                <c:pt idx="125">
                  <c:v>44446</c:v>
                </c:pt>
                <c:pt idx="126">
                  <c:v>44447</c:v>
                </c:pt>
                <c:pt idx="127">
                  <c:v>44448</c:v>
                </c:pt>
                <c:pt idx="128">
                  <c:v>44452</c:v>
                </c:pt>
                <c:pt idx="129">
                  <c:v>44453</c:v>
                </c:pt>
                <c:pt idx="130">
                  <c:v>44454</c:v>
                </c:pt>
                <c:pt idx="131">
                  <c:v>44455</c:v>
                </c:pt>
                <c:pt idx="132">
                  <c:v>44456</c:v>
                </c:pt>
                <c:pt idx="133">
                  <c:v>44459</c:v>
                </c:pt>
                <c:pt idx="134">
                  <c:v>44460</c:v>
                </c:pt>
                <c:pt idx="135">
                  <c:v>44461</c:v>
                </c:pt>
                <c:pt idx="136">
                  <c:v>44462</c:v>
                </c:pt>
                <c:pt idx="137">
                  <c:v>44463</c:v>
                </c:pt>
                <c:pt idx="138">
                  <c:v>44466</c:v>
                </c:pt>
                <c:pt idx="139">
                  <c:v>44467</c:v>
                </c:pt>
                <c:pt idx="140">
                  <c:v>44468</c:v>
                </c:pt>
                <c:pt idx="141">
                  <c:v>44469</c:v>
                </c:pt>
                <c:pt idx="142">
                  <c:v>44470</c:v>
                </c:pt>
                <c:pt idx="143">
                  <c:v>44473</c:v>
                </c:pt>
                <c:pt idx="144">
                  <c:v>44474</c:v>
                </c:pt>
                <c:pt idx="145">
                  <c:v>44475</c:v>
                </c:pt>
                <c:pt idx="146">
                  <c:v>44476</c:v>
                </c:pt>
                <c:pt idx="147">
                  <c:v>44477</c:v>
                </c:pt>
                <c:pt idx="148">
                  <c:v>44480</c:v>
                </c:pt>
                <c:pt idx="149">
                  <c:v>44481</c:v>
                </c:pt>
                <c:pt idx="150">
                  <c:v>44482</c:v>
                </c:pt>
                <c:pt idx="151">
                  <c:v>44483</c:v>
                </c:pt>
                <c:pt idx="152">
                  <c:v>44487</c:v>
                </c:pt>
                <c:pt idx="153">
                  <c:v>44488</c:v>
                </c:pt>
                <c:pt idx="154">
                  <c:v>44489</c:v>
                </c:pt>
                <c:pt idx="155">
                  <c:v>44490</c:v>
                </c:pt>
                <c:pt idx="156">
                  <c:v>44491</c:v>
                </c:pt>
                <c:pt idx="157">
                  <c:v>44494</c:v>
                </c:pt>
                <c:pt idx="158">
                  <c:v>44495</c:v>
                </c:pt>
                <c:pt idx="159">
                  <c:v>44496</c:v>
                </c:pt>
                <c:pt idx="160">
                  <c:v>44497</c:v>
                </c:pt>
                <c:pt idx="161">
                  <c:v>44498</c:v>
                </c:pt>
                <c:pt idx="162">
                  <c:v>44501</c:v>
                </c:pt>
                <c:pt idx="163">
                  <c:v>44502</c:v>
                </c:pt>
                <c:pt idx="164">
                  <c:v>44503</c:v>
                </c:pt>
                <c:pt idx="165">
                  <c:v>44504</c:v>
                </c:pt>
                <c:pt idx="166">
                  <c:v>44508</c:v>
                </c:pt>
                <c:pt idx="167">
                  <c:v>44509</c:v>
                </c:pt>
                <c:pt idx="168">
                  <c:v>44510</c:v>
                </c:pt>
                <c:pt idx="169">
                  <c:v>44511</c:v>
                </c:pt>
                <c:pt idx="170">
                  <c:v>44512</c:v>
                </c:pt>
                <c:pt idx="171">
                  <c:v>44515</c:v>
                </c:pt>
                <c:pt idx="172">
                  <c:v>44516</c:v>
                </c:pt>
                <c:pt idx="173">
                  <c:v>44517</c:v>
                </c:pt>
                <c:pt idx="174">
                  <c:v>44518</c:v>
                </c:pt>
                <c:pt idx="175">
                  <c:v>44522</c:v>
                </c:pt>
                <c:pt idx="176">
                  <c:v>44523</c:v>
                </c:pt>
                <c:pt idx="177">
                  <c:v>44524</c:v>
                </c:pt>
                <c:pt idx="178">
                  <c:v>44525</c:v>
                </c:pt>
                <c:pt idx="179">
                  <c:v>44526</c:v>
                </c:pt>
                <c:pt idx="180">
                  <c:v>44529</c:v>
                </c:pt>
                <c:pt idx="181">
                  <c:v>44530</c:v>
                </c:pt>
                <c:pt idx="182">
                  <c:v>44531</c:v>
                </c:pt>
                <c:pt idx="183">
                  <c:v>44532</c:v>
                </c:pt>
                <c:pt idx="184">
                  <c:v>44533</c:v>
                </c:pt>
                <c:pt idx="185">
                  <c:v>44536</c:v>
                </c:pt>
                <c:pt idx="186">
                  <c:v>44537</c:v>
                </c:pt>
                <c:pt idx="187">
                  <c:v>44538</c:v>
                </c:pt>
                <c:pt idx="188">
                  <c:v>44539</c:v>
                </c:pt>
                <c:pt idx="189">
                  <c:v>44540</c:v>
                </c:pt>
                <c:pt idx="190">
                  <c:v>44543</c:v>
                </c:pt>
                <c:pt idx="191">
                  <c:v>44544</c:v>
                </c:pt>
                <c:pt idx="192">
                  <c:v>44545</c:v>
                </c:pt>
                <c:pt idx="193">
                  <c:v>44546</c:v>
                </c:pt>
                <c:pt idx="194">
                  <c:v>44547</c:v>
                </c:pt>
                <c:pt idx="195">
                  <c:v>44550</c:v>
                </c:pt>
                <c:pt idx="196">
                  <c:v>44551</c:v>
                </c:pt>
                <c:pt idx="197">
                  <c:v>44552</c:v>
                </c:pt>
                <c:pt idx="198">
                  <c:v>44553</c:v>
                </c:pt>
                <c:pt idx="199">
                  <c:v>44554</c:v>
                </c:pt>
                <c:pt idx="200">
                  <c:v>44557</c:v>
                </c:pt>
                <c:pt idx="201">
                  <c:v>44558</c:v>
                </c:pt>
                <c:pt idx="202">
                  <c:v>44559</c:v>
                </c:pt>
                <c:pt idx="203">
                  <c:v>44560</c:v>
                </c:pt>
                <c:pt idx="204">
                  <c:v>44561</c:v>
                </c:pt>
                <c:pt idx="205">
                  <c:v>44564</c:v>
                </c:pt>
                <c:pt idx="206">
                  <c:v>44565</c:v>
                </c:pt>
                <c:pt idx="207">
                  <c:v>44566</c:v>
                </c:pt>
                <c:pt idx="208">
                  <c:v>44567</c:v>
                </c:pt>
                <c:pt idx="209">
                  <c:v>44568</c:v>
                </c:pt>
                <c:pt idx="210">
                  <c:v>44571</c:v>
                </c:pt>
                <c:pt idx="211">
                  <c:v>44572</c:v>
                </c:pt>
                <c:pt idx="212">
                  <c:v>44573</c:v>
                </c:pt>
                <c:pt idx="213">
                  <c:v>44574</c:v>
                </c:pt>
                <c:pt idx="214">
                  <c:v>44575</c:v>
                </c:pt>
                <c:pt idx="215">
                  <c:v>44578</c:v>
                </c:pt>
                <c:pt idx="216">
                  <c:v>44579</c:v>
                </c:pt>
                <c:pt idx="217">
                  <c:v>44580</c:v>
                </c:pt>
                <c:pt idx="218">
                  <c:v>44581</c:v>
                </c:pt>
                <c:pt idx="219">
                  <c:v>44582</c:v>
                </c:pt>
                <c:pt idx="220">
                  <c:v>44585</c:v>
                </c:pt>
                <c:pt idx="221">
                  <c:v>44586</c:v>
                </c:pt>
                <c:pt idx="222">
                  <c:v>44588</c:v>
                </c:pt>
                <c:pt idx="223">
                  <c:v>44589</c:v>
                </c:pt>
                <c:pt idx="224">
                  <c:v>44592</c:v>
                </c:pt>
                <c:pt idx="225">
                  <c:v>44593</c:v>
                </c:pt>
                <c:pt idx="226">
                  <c:v>44594</c:v>
                </c:pt>
                <c:pt idx="227">
                  <c:v>44595</c:v>
                </c:pt>
                <c:pt idx="228">
                  <c:v>44596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44622</c:v>
                </c:pt>
                <c:pt idx="246">
                  <c:v>44623</c:v>
                </c:pt>
                <c:pt idx="247">
                  <c:v>44624</c:v>
                </c:pt>
                <c:pt idx="248">
                  <c:v>44627</c:v>
                </c:pt>
                <c:pt idx="249">
                  <c:v>44628</c:v>
                </c:pt>
                <c:pt idx="250">
                  <c:v>44629</c:v>
                </c:pt>
                <c:pt idx="251">
                  <c:v>44630</c:v>
                </c:pt>
                <c:pt idx="252">
                  <c:v>44631</c:v>
                </c:pt>
                <c:pt idx="253">
                  <c:v>44634</c:v>
                </c:pt>
                <c:pt idx="254">
                  <c:v>44635</c:v>
                </c:pt>
                <c:pt idx="255">
                  <c:v>44636</c:v>
                </c:pt>
                <c:pt idx="256">
                  <c:v>44637</c:v>
                </c:pt>
                <c:pt idx="257">
                  <c:v>44641</c:v>
                </c:pt>
                <c:pt idx="258">
                  <c:v>44642</c:v>
                </c:pt>
                <c:pt idx="259">
                  <c:v>44643</c:v>
                </c:pt>
                <c:pt idx="260">
                  <c:v>44644</c:v>
                </c:pt>
                <c:pt idx="261">
                  <c:v>44645</c:v>
                </c:pt>
                <c:pt idx="262">
                  <c:v>44648</c:v>
                </c:pt>
                <c:pt idx="263">
                  <c:v>44649</c:v>
                </c:pt>
                <c:pt idx="264">
                  <c:v>44650</c:v>
                </c:pt>
                <c:pt idx="265">
                  <c:v>44651</c:v>
                </c:pt>
                <c:pt idx="266">
                  <c:v>44652</c:v>
                </c:pt>
                <c:pt idx="267">
                  <c:v>44655</c:v>
                </c:pt>
                <c:pt idx="268">
                  <c:v>44656</c:v>
                </c:pt>
                <c:pt idx="269">
                  <c:v>44657</c:v>
                </c:pt>
                <c:pt idx="270">
                  <c:v>44658</c:v>
                </c:pt>
                <c:pt idx="271">
                  <c:v>44659</c:v>
                </c:pt>
                <c:pt idx="272">
                  <c:v>44662</c:v>
                </c:pt>
                <c:pt idx="273">
                  <c:v>44663</c:v>
                </c:pt>
                <c:pt idx="274">
                  <c:v>44664</c:v>
                </c:pt>
                <c:pt idx="275">
                  <c:v>44669</c:v>
                </c:pt>
                <c:pt idx="276">
                  <c:v>44670</c:v>
                </c:pt>
                <c:pt idx="277">
                  <c:v>44671</c:v>
                </c:pt>
                <c:pt idx="278">
                  <c:v>44672</c:v>
                </c:pt>
                <c:pt idx="279">
                  <c:v>44673</c:v>
                </c:pt>
                <c:pt idx="280">
                  <c:v>44676</c:v>
                </c:pt>
                <c:pt idx="281">
                  <c:v>44677</c:v>
                </c:pt>
                <c:pt idx="282">
                  <c:v>44678</c:v>
                </c:pt>
                <c:pt idx="283">
                  <c:v>44679</c:v>
                </c:pt>
                <c:pt idx="284">
                  <c:v>44680</c:v>
                </c:pt>
                <c:pt idx="285">
                  <c:v>44683</c:v>
                </c:pt>
                <c:pt idx="286">
                  <c:v>44685</c:v>
                </c:pt>
                <c:pt idx="287">
                  <c:v>44686</c:v>
                </c:pt>
                <c:pt idx="288">
                  <c:v>44687</c:v>
                </c:pt>
                <c:pt idx="289">
                  <c:v>44690</c:v>
                </c:pt>
                <c:pt idx="290">
                  <c:v>44691</c:v>
                </c:pt>
                <c:pt idx="291">
                  <c:v>44692</c:v>
                </c:pt>
                <c:pt idx="292">
                  <c:v>44693</c:v>
                </c:pt>
                <c:pt idx="293">
                  <c:v>44694</c:v>
                </c:pt>
                <c:pt idx="294">
                  <c:v>44697</c:v>
                </c:pt>
                <c:pt idx="295">
                  <c:v>44698</c:v>
                </c:pt>
                <c:pt idx="296">
                  <c:v>44699</c:v>
                </c:pt>
                <c:pt idx="297">
                  <c:v>44700</c:v>
                </c:pt>
                <c:pt idx="298">
                  <c:v>44701</c:v>
                </c:pt>
                <c:pt idx="299">
                  <c:v>44704</c:v>
                </c:pt>
                <c:pt idx="300">
                  <c:v>44705</c:v>
                </c:pt>
                <c:pt idx="301">
                  <c:v>44706</c:v>
                </c:pt>
                <c:pt idx="302">
                  <c:v>44707</c:v>
                </c:pt>
                <c:pt idx="303">
                  <c:v>44708</c:v>
                </c:pt>
                <c:pt idx="304">
                  <c:v>44711</c:v>
                </c:pt>
                <c:pt idx="305">
                  <c:v>44712</c:v>
                </c:pt>
                <c:pt idx="306">
                  <c:v>44713</c:v>
                </c:pt>
                <c:pt idx="307">
                  <c:v>44714</c:v>
                </c:pt>
                <c:pt idx="308">
                  <c:v>44715</c:v>
                </c:pt>
                <c:pt idx="309">
                  <c:v>44718</c:v>
                </c:pt>
                <c:pt idx="310">
                  <c:v>44719</c:v>
                </c:pt>
                <c:pt idx="311">
                  <c:v>44720</c:v>
                </c:pt>
                <c:pt idx="312">
                  <c:v>44721</c:v>
                </c:pt>
                <c:pt idx="313">
                  <c:v>44722</c:v>
                </c:pt>
                <c:pt idx="314">
                  <c:v>44725</c:v>
                </c:pt>
                <c:pt idx="315">
                  <c:v>44726</c:v>
                </c:pt>
                <c:pt idx="316">
                  <c:v>44727</c:v>
                </c:pt>
                <c:pt idx="317">
                  <c:v>44728</c:v>
                </c:pt>
                <c:pt idx="318">
                  <c:v>44729</c:v>
                </c:pt>
                <c:pt idx="319">
                  <c:v>44732</c:v>
                </c:pt>
                <c:pt idx="320">
                  <c:v>44733</c:v>
                </c:pt>
                <c:pt idx="321">
                  <c:v>44734</c:v>
                </c:pt>
                <c:pt idx="322">
                  <c:v>44735</c:v>
                </c:pt>
                <c:pt idx="323">
                  <c:v>44736</c:v>
                </c:pt>
                <c:pt idx="324">
                  <c:v>44739</c:v>
                </c:pt>
                <c:pt idx="325">
                  <c:v>44740</c:v>
                </c:pt>
                <c:pt idx="326">
                  <c:v>44741</c:v>
                </c:pt>
                <c:pt idx="327">
                  <c:v>44742</c:v>
                </c:pt>
                <c:pt idx="328">
                  <c:v>44743</c:v>
                </c:pt>
                <c:pt idx="329">
                  <c:v>44746</c:v>
                </c:pt>
                <c:pt idx="330">
                  <c:v>44747</c:v>
                </c:pt>
                <c:pt idx="331">
                  <c:v>44748</c:v>
                </c:pt>
                <c:pt idx="332">
                  <c:v>44749</c:v>
                </c:pt>
                <c:pt idx="333">
                  <c:v>44750</c:v>
                </c:pt>
                <c:pt idx="334">
                  <c:v>44753</c:v>
                </c:pt>
                <c:pt idx="335">
                  <c:v>44754</c:v>
                </c:pt>
                <c:pt idx="336">
                  <c:v>44755</c:v>
                </c:pt>
                <c:pt idx="337">
                  <c:v>44756</c:v>
                </c:pt>
                <c:pt idx="338">
                  <c:v>44757</c:v>
                </c:pt>
                <c:pt idx="339">
                  <c:v>44760</c:v>
                </c:pt>
                <c:pt idx="340">
                  <c:v>44761</c:v>
                </c:pt>
                <c:pt idx="341">
                  <c:v>44762</c:v>
                </c:pt>
                <c:pt idx="342">
                  <c:v>44763</c:v>
                </c:pt>
                <c:pt idx="343">
                  <c:v>44764</c:v>
                </c:pt>
                <c:pt idx="344">
                  <c:v>44767</c:v>
                </c:pt>
                <c:pt idx="345">
                  <c:v>44768</c:v>
                </c:pt>
                <c:pt idx="346">
                  <c:v>44769</c:v>
                </c:pt>
                <c:pt idx="347">
                  <c:v>44770</c:v>
                </c:pt>
                <c:pt idx="348">
                  <c:v>44771</c:v>
                </c:pt>
                <c:pt idx="349">
                  <c:v>44774</c:v>
                </c:pt>
                <c:pt idx="350">
                  <c:v>44775</c:v>
                </c:pt>
                <c:pt idx="351">
                  <c:v>44776</c:v>
                </c:pt>
                <c:pt idx="352">
                  <c:v>44777</c:v>
                </c:pt>
                <c:pt idx="353">
                  <c:v>44778</c:v>
                </c:pt>
                <c:pt idx="354">
                  <c:v>44781</c:v>
                </c:pt>
                <c:pt idx="355">
                  <c:v>44783</c:v>
                </c:pt>
                <c:pt idx="356">
                  <c:v>44784</c:v>
                </c:pt>
                <c:pt idx="357">
                  <c:v>44785</c:v>
                </c:pt>
                <c:pt idx="358">
                  <c:v>44789</c:v>
                </c:pt>
                <c:pt idx="359">
                  <c:v>44790</c:v>
                </c:pt>
                <c:pt idx="360">
                  <c:v>44791</c:v>
                </c:pt>
                <c:pt idx="361">
                  <c:v>44792</c:v>
                </c:pt>
                <c:pt idx="362">
                  <c:v>44795</c:v>
                </c:pt>
                <c:pt idx="363">
                  <c:v>44796</c:v>
                </c:pt>
                <c:pt idx="364">
                  <c:v>44797</c:v>
                </c:pt>
                <c:pt idx="365">
                  <c:v>44798</c:v>
                </c:pt>
                <c:pt idx="366">
                  <c:v>44799</c:v>
                </c:pt>
                <c:pt idx="367">
                  <c:v>44802</c:v>
                </c:pt>
                <c:pt idx="368">
                  <c:v>44803</c:v>
                </c:pt>
                <c:pt idx="369">
                  <c:v>44805</c:v>
                </c:pt>
                <c:pt idx="370">
                  <c:v>44806</c:v>
                </c:pt>
                <c:pt idx="371">
                  <c:v>44809</c:v>
                </c:pt>
                <c:pt idx="372">
                  <c:v>44810</c:v>
                </c:pt>
                <c:pt idx="373">
                  <c:v>44811</c:v>
                </c:pt>
                <c:pt idx="374">
                  <c:v>44812</c:v>
                </c:pt>
                <c:pt idx="375">
                  <c:v>44813</c:v>
                </c:pt>
                <c:pt idx="376">
                  <c:v>44816</c:v>
                </c:pt>
                <c:pt idx="377">
                  <c:v>44817</c:v>
                </c:pt>
                <c:pt idx="378">
                  <c:v>44818</c:v>
                </c:pt>
                <c:pt idx="379">
                  <c:v>44819</c:v>
                </c:pt>
                <c:pt idx="380">
                  <c:v>44820</c:v>
                </c:pt>
                <c:pt idx="381">
                  <c:v>44823</c:v>
                </c:pt>
                <c:pt idx="382">
                  <c:v>44824</c:v>
                </c:pt>
                <c:pt idx="383">
                  <c:v>44825</c:v>
                </c:pt>
                <c:pt idx="384">
                  <c:v>44826</c:v>
                </c:pt>
                <c:pt idx="385">
                  <c:v>44827</c:v>
                </c:pt>
                <c:pt idx="386">
                  <c:v>44830</c:v>
                </c:pt>
                <c:pt idx="387">
                  <c:v>44831</c:v>
                </c:pt>
                <c:pt idx="388">
                  <c:v>44832</c:v>
                </c:pt>
                <c:pt idx="389">
                  <c:v>44833</c:v>
                </c:pt>
                <c:pt idx="390">
                  <c:v>44834</c:v>
                </c:pt>
                <c:pt idx="391">
                  <c:v>44837</c:v>
                </c:pt>
                <c:pt idx="392">
                  <c:v>44838</c:v>
                </c:pt>
                <c:pt idx="393">
                  <c:v>44840</c:v>
                </c:pt>
                <c:pt idx="394">
                  <c:v>44841</c:v>
                </c:pt>
                <c:pt idx="395">
                  <c:v>44844</c:v>
                </c:pt>
                <c:pt idx="396">
                  <c:v>44845</c:v>
                </c:pt>
                <c:pt idx="397">
                  <c:v>44846</c:v>
                </c:pt>
                <c:pt idx="398">
                  <c:v>44847</c:v>
                </c:pt>
                <c:pt idx="399">
                  <c:v>44848</c:v>
                </c:pt>
                <c:pt idx="400">
                  <c:v>44851</c:v>
                </c:pt>
                <c:pt idx="401">
                  <c:v>44852</c:v>
                </c:pt>
                <c:pt idx="402">
                  <c:v>44853</c:v>
                </c:pt>
                <c:pt idx="403">
                  <c:v>44854</c:v>
                </c:pt>
                <c:pt idx="404">
                  <c:v>44855</c:v>
                </c:pt>
                <c:pt idx="405">
                  <c:v>44858</c:v>
                </c:pt>
                <c:pt idx="406">
                  <c:v>44859</c:v>
                </c:pt>
                <c:pt idx="407">
                  <c:v>44861</c:v>
                </c:pt>
                <c:pt idx="408">
                  <c:v>44862</c:v>
                </c:pt>
                <c:pt idx="409">
                  <c:v>44865</c:v>
                </c:pt>
                <c:pt idx="410">
                  <c:v>44866</c:v>
                </c:pt>
                <c:pt idx="411">
                  <c:v>44867</c:v>
                </c:pt>
                <c:pt idx="412">
                  <c:v>44868</c:v>
                </c:pt>
                <c:pt idx="413">
                  <c:v>44869</c:v>
                </c:pt>
                <c:pt idx="414">
                  <c:v>44872</c:v>
                </c:pt>
                <c:pt idx="415">
                  <c:v>44874</c:v>
                </c:pt>
                <c:pt idx="416">
                  <c:v>44875</c:v>
                </c:pt>
                <c:pt idx="417">
                  <c:v>44876</c:v>
                </c:pt>
                <c:pt idx="418">
                  <c:v>44879</c:v>
                </c:pt>
                <c:pt idx="419">
                  <c:v>44880</c:v>
                </c:pt>
                <c:pt idx="420">
                  <c:v>44881</c:v>
                </c:pt>
                <c:pt idx="421">
                  <c:v>44882</c:v>
                </c:pt>
                <c:pt idx="422">
                  <c:v>44883</c:v>
                </c:pt>
                <c:pt idx="423">
                  <c:v>44886</c:v>
                </c:pt>
                <c:pt idx="424">
                  <c:v>44887</c:v>
                </c:pt>
                <c:pt idx="425">
                  <c:v>44888</c:v>
                </c:pt>
                <c:pt idx="426">
                  <c:v>44889</c:v>
                </c:pt>
                <c:pt idx="427">
                  <c:v>44890</c:v>
                </c:pt>
                <c:pt idx="428">
                  <c:v>44893</c:v>
                </c:pt>
                <c:pt idx="429">
                  <c:v>44894</c:v>
                </c:pt>
                <c:pt idx="430">
                  <c:v>44895</c:v>
                </c:pt>
                <c:pt idx="431">
                  <c:v>44896</c:v>
                </c:pt>
                <c:pt idx="432">
                  <c:v>44897</c:v>
                </c:pt>
                <c:pt idx="433">
                  <c:v>44900</c:v>
                </c:pt>
                <c:pt idx="434">
                  <c:v>44901</c:v>
                </c:pt>
                <c:pt idx="435">
                  <c:v>44902</c:v>
                </c:pt>
                <c:pt idx="436">
                  <c:v>44903</c:v>
                </c:pt>
                <c:pt idx="437">
                  <c:v>44904</c:v>
                </c:pt>
                <c:pt idx="438">
                  <c:v>44907</c:v>
                </c:pt>
                <c:pt idx="439">
                  <c:v>44908</c:v>
                </c:pt>
                <c:pt idx="440">
                  <c:v>44909</c:v>
                </c:pt>
                <c:pt idx="441">
                  <c:v>44910</c:v>
                </c:pt>
                <c:pt idx="442">
                  <c:v>44911</c:v>
                </c:pt>
                <c:pt idx="443">
                  <c:v>44914</c:v>
                </c:pt>
                <c:pt idx="444">
                  <c:v>44915</c:v>
                </c:pt>
                <c:pt idx="445">
                  <c:v>44916</c:v>
                </c:pt>
                <c:pt idx="446">
                  <c:v>44917</c:v>
                </c:pt>
                <c:pt idx="447">
                  <c:v>44918</c:v>
                </c:pt>
                <c:pt idx="448">
                  <c:v>44921</c:v>
                </c:pt>
                <c:pt idx="449">
                  <c:v>44922</c:v>
                </c:pt>
                <c:pt idx="450">
                  <c:v>44923</c:v>
                </c:pt>
                <c:pt idx="451">
                  <c:v>44924</c:v>
                </c:pt>
                <c:pt idx="452">
                  <c:v>44925</c:v>
                </c:pt>
                <c:pt idx="453">
                  <c:v>44928</c:v>
                </c:pt>
                <c:pt idx="454">
                  <c:v>44929</c:v>
                </c:pt>
                <c:pt idx="455">
                  <c:v>44930</c:v>
                </c:pt>
                <c:pt idx="456">
                  <c:v>44931</c:v>
                </c:pt>
                <c:pt idx="457">
                  <c:v>44932</c:v>
                </c:pt>
                <c:pt idx="458">
                  <c:v>44935</c:v>
                </c:pt>
                <c:pt idx="459">
                  <c:v>44936</c:v>
                </c:pt>
                <c:pt idx="460">
                  <c:v>44937</c:v>
                </c:pt>
                <c:pt idx="461">
                  <c:v>44938</c:v>
                </c:pt>
                <c:pt idx="462">
                  <c:v>44939</c:v>
                </c:pt>
                <c:pt idx="463">
                  <c:v>44942</c:v>
                </c:pt>
                <c:pt idx="464">
                  <c:v>44943</c:v>
                </c:pt>
                <c:pt idx="465">
                  <c:v>44944</c:v>
                </c:pt>
                <c:pt idx="466">
                  <c:v>44945</c:v>
                </c:pt>
                <c:pt idx="467">
                  <c:v>44946</c:v>
                </c:pt>
                <c:pt idx="468">
                  <c:v>44949</c:v>
                </c:pt>
                <c:pt idx="469">
                  <c:v>44950</c:v>
                </c:pt>
                <c:pt idx="470">
                  <c:v>44951</c:v>
                </c:pt>
                <c:pt idx="471">
                  <c:v>44953</c:v>
                </c:pt>
                <c:pt idx="472">
                  <c:v>44956</c:v>
                </c:pt>
                <c:pt idx="473">
                  <c:v>44957</c:v>
                </c:pt>
                <c:pt idx="474">
                  <c:v>44958</c:v>
                </c:pt>
                <c:pt idx="475">
                  <c:v>44959</c:v>
                </c:pt>
                <c:pt idx="476">
                  <c:v>44960</c:v>
                </c:pt>
                <c:pt idx="477">
                  <c:v>44963</c:v>
                </c:pt>
                <c:pt idx="478">
                  <c:v>44964</c:v>
                </c:pt>
                <c:pt idx="479">
                  <c:v>44965</c:v>
                </c:pt>
                <c:pt idx="480">
                  <c:v>44966</c:v>
                </c:pt>
                <c:pt idx="481">
                  <c:v>44967</c:v>
                </c:pt>
                <c:pt idx="482">
                  <c:v>44970</c:v>
                </c:pt>
                <c:pt idx="483">
                  <c:v>44971</c:v>
                </c:pt>
                <c:pt idx="484">
                  <c:v>44972</c:v>
                </c:pt>
                <c:pt idx="485">
                  <c:v>44973</c:v>
                </c:pt>
                <c:pt idx="486">
                  <c:v>44974</c:v>
                </c:pt>
                <c:pt idx="487">
                  <c:v>44977</c:v>
                </c:pt>
                <c:pt idx="488">
                  <c:v>44978</c:v>
                </c:pt>
                <c:pt idx="489">
                  <c:v>44979</c:v>
                </c:pt>
                <c:pt idx="490">
                  <c:v>44980</c:v>
                </c:pt>
                <c:pt idx="491">
                  <c:v>44981</c:v>
                </c:pt>
                <c:pt idx="492">
                  <c:v>44984</c:v>
                </c:pt>
                <c:pt idx="493">
                  <c:v>44985</c:v>
                </c:pt>
                <c:pt idx="494">
                  <c:v>44986</c:v>
                </c:pt>
                <c:pt idx="495">
                  <c:v>44987</c:v>
                </c:pt>
                <c:pt idx="496">
                  <c:v>44988</c:v>
                </c:pt>
                <c:pt idx="497">
                  <c:v>44991</c:v>
                </c:pt>
                <c:pt idx="498">
                  <c:v>44993</c:v>
                </c:pt>
                <c:pt idx="499">
                  <c:v>44994</c:v>
                </c:pt>
                <c:pt idx="500">
                  <c:v>44995</c:v>
                </c:pt>
                <c:pt idx="501">
                  <c:v>44998</c:v>
                </c:pt>
                <c:pt idx="502">
                  <c:v>44999</c:v>
                </c:pt>
                <c:pt idx="503">
                  <c:v>45000</c:v>
                </c:pt>
                <c:pt idx="504">
                  <c:v>45001</c:v>
                </c:pt>
                <c:pt idx="505">
                  <c:v>45002</c:v>
                </c:pt>
                <c:pt idx="506">
                  <c:v>45005</c:v>
                </c:pt>
                <c:pt idx="507">
                  <c:v>45006</c:v>
                </c:pt>
                <c:pt idx="508">
                  <c:v>45007</c:v>
                </c:pt>
                <c:pt idx="509">
                  <c:v>45008</c:v>
                </c:pt>
                <c:pt idx="510">
                  <c:v>45009</c:v>
                </c:pt>
                <c:pt idx="511">
                  <c:v>45012</c:v>
                </c:pt>
                <c:pt idx="512">
                  <c:v>45013</c:v>
                </c:pt>
                <c:pt idx="513">
                  <c:v>45014</c:v>
                </c:pt>
                <c:pt idx="514">
                  <c:v>45016</c:v>
                </c:pt>
                <c:pt idx="515">
                  <c:v>45019</c:v>
                </c:pt>
                <c:pt idx="516">
                  <c:v>45021</c:v>
                </c:pt>
                <c:pt idx="517">
                  <c:v>45022</c:v>
                </c:pt>
                <c:pt idx="518">
                  <c:v>45026</c:v>
                </c:pt>
                <c:pt idx="519">
                  <c:v>45027</c:v>
                </c:pt>
                <c:pt idx="520">
                  <c:v>45028</c:v>
                </c:pt>
                <c:pt idx="521">
                  <c:v>45029</c:v>
                </c:pt>
                <c:pt idx="522">
                  <c:v>45033</c:v>
                </c:pt>
                <c:pt idx="523">
                  <c:v>45034</c:v>
                </c:pt>
                <c:pt idx="524">
                  <c:v>45035</c:v>
                </c:pt>
                <c:pt idx="525">
                  <c:v>45036</c:v>
                </c:pt>
                <c:pt idx="526">
                  <c:v>45037</c:v>
                </c:pt>
                <c:pt idx="527">
                  <c:v>45040</c:v>
                </c:pt>
                <c:pt idx="528">
                  <c:v>45041</c:v>
                </c:pt>
                <c:pt idx="529">
                  <c:v>45042</c:v>
                </c:pt>
                <c:pt idx="530">
                  <c:v>45043</c:v>
                </c:pt>
                <c:pt idx="531">
                  <c:v>45044</c:v>
                </c:pt>
                <c:pt idx="532">
                  <c:v>45048</c:v>
                </c:pt>
                <c:pt idx="533">
                  <c:v>45049</c:v>
                </c:pt>
                <c:pt idx="534">
                  <c:v>45050</c:v>
                </c:pt>
                <c:pt idx="535">
                  <c:v>45051</c:v>
                </c:pt>
                <c:pt idx="536">
                  <c:v>45054</c:v>
                </c:pt>
                <c:pt idx="537">
                  <c:v>45055</c:v>
                </c:pt>
                <c:pt idx="538">
                  <c:v>45056</c:v>
                </c:pt>
                <c:pt idx="539">
                  <c:v>45057</c:v>
                </c:pt>
                <c:pt idx="540">
                  <c:v>45058</c:v>
                </c:pt>
                <c:pt idx="541">
                  <c:v>45061</c:v>
                </c:pt>
                <c:pt idx="542">
                  <c:v>45062</c:v>
                </c:pt>
                <c:pt idx="543">
                  <c:v>45063</c:v>
                </c:pt>
                <c:pt idx="544">
                  <c:v>45064</c:v>
                </c:pt>
                <c:pt idx="545">
                  <c:v>45065</c:v>
                </c:pt>
                <c:pt idx="546">
                  <c:v>45068</c:v>
                </c:pt>
                <c:pt idx="547">
                  <c:v>45069</c:v>
                </c:pt>
                <c:pt idx="548">
                  <c:v>45070</c:v>
                </c:pt>
                <c:pt idx="549">
                  <c:v>45071</c:v>
                </c:pt>
                <c:pt idx="550">
                  <c:v>45072</c:v>
                </c:pt>
                <c:pt idx="551">
                  <c:v>45075</c:v>
                </c:pt>
                <c:pt idx="552">
                  <c:v>45076</c:v>
                </c:pt>
                <c:pt idx="553">
                  <c:v>45077</c:v>
                </c:pt>
                <c:pt idx="554">
                  <c:v>45078</c:v>
                </c:pt>
                <c:pt idx="555">
                  <c:v>45079</c:v>
                </c:pt>
                <c:pt idx="556">
                  <c:v>45082</c:v>
                </c:pt>
                <c:pt idx="557">
                  <c:v>45083</c:v>
                </c:pt>
                <c:pt idx="558">
                  <c:v>45084</c:v>
                </c:pt>
                <c:pt idx="559">
                  <c:v>45085</c:v>
                </c:pt>
                <c:pt idx="560">
                  <c:v>45086</c:v>
                </c:pt>
                <c:pt idx="561">
                  <c:v>45089</c:v>
                </c:pt>
                <c:pt idx="562">
                  <c:v>45090</c:v>
                </c:pt>
                <c:pt idx="563">
                  <c:v>45091</c:v>
                </c:pt>
                <c:pt idx="564">
                  <c:v>45092</c:v>
                </c:pt>
                <c:pt idx="565">
                  <c:v>45093</c:v>
                </c:pt>
                <c:pt idx="566">
                  <c:v>45096</c:v>
                </c:pt>
                <c:pt idx="567">
                  <c:v>45097</c:v>
                </c:pt>
                <c:pt idx="568">
                  <c:v>45098</c:v>
                </c:pt>
                <c:pt idx="569">
                  <c:v>45099</c:v>
                </c:pt>
                <c:pt idx="570">
                  <c:v>45100</c:v>
                </c:pt>
                <c:pt idx="571">
                  <c:v>45103</c:v>
                </c:pt>
                <c:pt idx="572">
                  <c:v>45104</c:v>
                </c:pt>
                <c:pt idx="573">
                  <c:v>45105</c:v>
                </c:pt>
                <c:pt idx="574">
                  <c:v>45107</c:v>
                </c:pt>
                <c:pt idx="575">
                  <c:v>45110</c:v>
                </c:pt>
                <c:pt idx="576">
                  <c:v>45111</c:v>
                </c:pt>
                <c:pt idx="577">
                  <c:v>45112</c:v>
                </c:pt>
                <c:pt idx="578">
                  <c:v>45113</c:v>
                </c:pt>
                <c:pt idx="579">
                  <c:v>45114</c:v>
                </c:pt>
                <c:pt idx="580">
                  <c:v>45117</c:v>
                </c:pt>
                <c:pt idx="581">
                  <c:v>45118</c:v>
                </c:pt>
                <c:pt idx="582">
                  <c:v>45119</c:v>
                </c:pt>
                <c:pt idx="583">
                  <c:v>45120</c:v>
                </c:pt>
                <c:pt idx="584">
                  <c:v>45121</c:v>
                </c:pt>
                <c:pt idx="585">
                  <c:v>45124</c:v>
                </c:pt>
                <c:pt idx="586">
                  <c:v>45125</c:v>
                </c:pt>
                <c:pt idx="587">
                  <c:v>45126</c:v>
                </c:pt>
                <c:pt idx="588">
                  <c:v>45127</c:v>
                </c:pt>
                <c:pt idx="589">
                  <c:v>45128</c:v>
                </c:pt>
                <c:pt idx="590">
                  <c:v>45131</c:v>
                </c:pt>
                <c:pt idx="591">
                  <c:v>45132</c:v>
                </c:pt>
                <c:pt idx="592">
                  <c:v>45133</c:v>
                </c:pt>
                <c:pt idx="593">
                  <c:v>45134</c:v>
                </c:pt>
                <c:pt idx="594">
                  <c:v>45135</c:v>
                </c:pt>
                <c:pt idx="595">
                  <c:v>45138</c:v>
                </c:pt>
                <c:pt idx="596">
                  <c:v>45139</c:v>
                </c:pt>
                <c:pt idx="597">
                  <c:v>45140</c:v>
                </c:pt>
                <c:pt idx="598">
                  <c:v>45141</c:v>
                </c:pt>
                <c:pt idx="599">
                  <c:v>45142</c:v>
                </c:pt>
                <c:pt idx="600">
                  <c:v>45145</c:v>
                </c:pt>
                <c:pt idx="601">
                  <c:v>45146</c:v>
                </c:pt>
                <c:pt idx="602">
                  <c:v>45147</c:v>
                </c:pt>
                <c:pt idx="603">
                  <c:v>45148</c:v>
                </c:pt>
                <c:pt idx="604">
                  <c:v>45149</c:v>
                </c:pt>
                <c:pt idx="605">
                  <c:v>45152</c:v>
                </c:pt>
                <c:pt idx="606">
                  <c:v>45154</c:v>
                </c:pt>
                <c:pt idx="607">
                  <c:v>45155</c:v>
                </c:pt>
                <c:pt idx="608">
                  <c:v>45156</c:v>
                </c:pt>
                <c:pt idx="609">
                  <c:v>45159</c:v>
                </c:pt>
                <c:pt idx="610">
                  <c:v>45160</c:v>
                </c:pt>
                <c:pt idx="611">
                  <c:v>45161</c:v>
                </c:pt>
                <c:pt idx="612">
                  <c:v>45162</c:v>
                </c:pt>
                <c:pt idx="613">
                  <c:v>45163</c:v>
                </c:pt>
                <c:pt idx="614">
                  <c:v>45166</c:v>
                </c:pt>
                <c:pt idx="615">
                  <c:v>45167</c:v>
                </c:pt>
                <c:pt idx="616">
                  <c:v>45168</c:v>
                </c:pt>
                <c:pt idx="617">
                  <c:v>45169</c:v>
                </c:pt>
                <c:pt idx="618">
                  <c:v>45170</c:v>
                </c:pt>
                <c:pt idx="619">
                  <c:v>45173</c:v>
                </c:pt>
                <c:pt idx="620">
                  <c:v>45174</c:v>
                </c:pt>
                <c:pt idx="621">
                  <c:v>45175</c:v>
                </c:pt>
                <c:pt idx="622">
                  <c:v>45176</c:v>
                </c:pt>
                <c:pt idx="623">
                  <c:v>45177</c:v>
                </c:pt>
                <c:pt idx="624">
                  <c:v>45180</c:v>
                </c:pt>
                <c:pt idx="625">
                  <c:v>45181</c:v>
                </c:pt>
                <c:pt idx="626">
                  <c:v>45182</c:v>
                </c:pt>
                <c:pt idx="627">
                  <c:v>45183</c:v>
                </c:pt>
                <c:pt idx="628">
                  <c:v>45184</c:v>
                </c:pt>
                <c:pt idx="629">
                  <c:v>45187</c:v>
                </c:pt>
                <c:pt idx="630">
                  <c:v>45189</c:v>
                </c:pt>
                <c:pt idx="631">
                  <c:v>45190</c:v>
                </c:pt>
                <c:pt idx="632">
                  <c:v>45191</c:v>
                </c:pt>
                <c:pt idx="633">
                  <c:v>45194</c:v>
                </c:pt>
                <c:pt idx="634">
                  <c:v>45195</c:v>
                </c:pt>
                <c:pt idx="635">
                  <c:v>45196</c:v>
                </c:pt>
                <c:pt idx="636">
                  <c:v>45197</c:v>
                </c:pt>
                <c:pt idx="637">
                  <c:v>45198</c:v>
                </c:pt>
                <c:pt idx="638">
                  <c:v>45202</c:v>
                </c:pt>
                <c:pt idx="639">
                  <c:v>45203</c:v>
                </c:pt>
                <c:pt idx="640">
                  <c:v>45204</c:v>
                </c:pt>
                <c:pt idx="641">
                  <c:v>45205</c:v>
                </c:pt>
                <c:pt idx="642">
                  <c:v>45208</c:v>
                </c:pt>
                <c:pt idx="643">
                  <c:v>45209</c:v>
                </c:pt>
                <c:pt idx="644">
                  <c:v>45210</c:v>
                </c:pt>
                <c:pt idx="645">
                  <c:v>45211</c:v>
                </c:pt>
                <c:pt idx="646">
                  <c:v>45212</c:v>
                </c:pt>
                <c:pt idx="647">
                  <c:v>45215</c:v>
                </c:pt>
                <c:pt idx="648">
                  <c:v>45216</c:v>
                </c:pt>
                <c:pt idx="649">
                  <c:v>45217</c:v>
                </c:pt>
                <c:pt idx="650">
                  <c:v>45218</c:v>
                </c:pt>
                <c:pt idx="651">
                  <c:v>45219</c:v>
                </c:pt>
                <c:pt idx="652">
                  <c:v>45222</c:v>
                </c:pt>
                <c:pt idx="653">
                  <c:v>45224</c:v>
                </c:pt>
                <c:pt idx="654">
                  <c:v>45225</c:v>
                </c:pt>
                <c:pt idx="655">
                  <c:v>45226</c:v>
                </c:pt>
                <c:pt idx="656">
                  <c:v>45229</c:v>
                </c:pt>
                <c:pt idx="657">
                  <c:v>45230</c:v>
                </c:pt>
                <c:pt idx="658">
                  <c:v>45231</c:v>
                </c:pt>
                <c:pt idx="659">
                  <c:v>45232</c:v>
                </c:pt>
                <c:pt idx="660">
                  <c:v>45233</c:v>
                </c:pt>
                <c:pt idx="661">
                  <c:v>45236</c:v>
                </c:pt>
                <c:pt idx="662">
                  <c:v>45237</c:v>
                </c:pt>
                <c:pt idx="663">
                  <c:v>45238</c:v>
                </c:pt>
                <c:pt idx="664">
                  <c:v>45239</c:v>
                </c:pt>
                <c:pt idx="665">
                  <c:v>45240</c:v>
                </c:pt>
                <c:pt idx="666">
                  <c:v>45242</c:v>
                </c:pt>
                <c:pt idx="667">
                  <c:v>45243</c:v>
                </c:pt>
                <c:pt idx="668">
                  <c:v>45245</c:v>
                </c:pt>
                <c:pt idx="669">
                  <c:v>45246</c:v>
                </c:pt>
                <c:pt idx="670">
                  <c:v>45247</c:v>
                </c:pt>
                <c:pt idx="671">
                  <c:v>45250</c:v>
                </c:pt>
                <c:pt idx="672">
                  <c:v>45251</c:v>
                </c:pt>
                <c:pt idx="673">
                  <c:v>45252</c:v>
                </c:pt>
                <c:pt idx="674">
                  <c:v>45253</c:v>
                </c:pt>
                <c:pt idx="675">
                  <c:v>45254</c:v>
                </c:pt>
                <c:pt idx="676">
                  <c:v>45258</c:v>
                </c:pt>
                <c:pt idx="677">
                  <c:v>45259</c:v>
                </c:pt>
                <c:pt idx="678">
                  <c:v>45260</c:v>
                </c:pt>
                <c:pt idx="679">
                  <c:v>45261</c:v>
                </c:pt>
                <c:pt idx="680">
                  <c:v>45264</c:v>
                </c:pt>
                <c:pt idx="681">
                  <c:v>45265</c:v>
                </c:pt>
                <c:pt idx="682">
                  <c:v>45266</c:v>
                </c:pt>
                <c:pt idx="683">
                  <c:v>45267</c:v>
                </c:pt>
                <c:pt idx="684">
                  <c:v>45268</c:v>
                </c:pt>
                <c:pt idx="685">
                  <c:v>45271</c:v>
                </c:pt>
                <c:pt idx="686">
                  <c:v>45272</c:v>
                </c:pt>
                <c:pt idx="687">
                  <c:v>45273</c:v>
                </c:pt>
                <c:pt idx="688">
                  <c:v>45274</c:v>
                </c:pt>
                <c:pt idx="689">
                  <c:v>45275</c:v>
                </c:pt>
                <c:pt idx="690">
                  <c:v>45278</c:v>
                </c:pt>
                <c:pt idx="691">
                  <c:v>45279</c:v>
                </c:pt>
                <c:pt idx="692">
                  <c:v>45280</c:v>
                </c:pt>
                <c:pt idx="693">
                  <c:v>45281</c:v>
                </c:pt>
                <c:pt idx="694">
                  <c:v>45282</c:v>
                </c:pt>
                <c:pt idx="695">
                  <c:v>45286</c:v>
                </c:pt>
                <c:pt idx="696">
                  <c:v>45287</c:v>
                </c:pt>
                <c:pt idx="697">
                  <c:v>45288</c:v>
                </c:pt>
                <c:pt idx="698">
                  <c:v>45289</c:v>
                </c:pt>
                <c:pt idx="699">
                  <c:v>45292</c:v>
                </c:pt>
                <c:pt idx="700">
                  <c:v>45293</c:v>
                </c:pt>
                <c:pt idx="701">
                  <c:v>45294</c:v>
                </c:pt>
                <c:pt idx="702">
                  <c:v>45295</c:v>
                </c:pt>
                <c:pt idx="703">
                  <c:v>45296</c:v>
                </c:pt>
                <c:pt idx="704">
                  <c:v>45299</c:v>
                </c:pt>
                <c:pt idx="705">
                  <c:v>45300</c:v>
                </c:pt>
                <c:pt idx="706">
                  <c:v>45301</c:v>
                </c:pt>
                <c:pt idx="707">
                  <c:v>45302</c:v>
                </c:pt>
                <c:pt idx="708">
                  <c:v>45303</c:v>
                </c:pt>
                <c:pt idx="709">
                  <c:v>45306</c:v>
                </c:pt>
                <c:pt idx="710">
                  <c:v>45307</c:v>
                </c:pt>
                <c:pt idx="711">
                  <c:v>45308</c:v>
                </c:pt>
                <c:pt idx="712">
                  <c:v>45309</c:v>
                </c:pt>
                <c:pt idx="713">
                  <c:v>45310</c:v>
                </c:pt>
                <c:pt idx="714">
                  <c:v>45311</c:v>
                </c:pt>
                <c:pt idx="715">
                  <c:v>45314</c:v>
                </c:pt>
                <c:pt idx="716">
                  <c:v>45315</c:v>
                </c:pt>
                <c:pt idx="717">
                  <c:v>45316</c:v>
                </c:pt>
                <c:pt idx="718">
                  <c:v>45320</c:v>
                </c:pt>
                <c:pt idx="719">
                  <c:v>45321</c:v>
                </c:pt>
                <c:pt idx="720">
                  <c:v>45322</c:v>
                </c:pt>
                <c:pt idx="721">
                  <c:v>45323</c:v>
                </c:pt>
                <c:pt idx="722">
                  <c:v>45324</c:v>
                </c:pt>
                <c:pt idx="723">
                  <c:v>45327</c:v>
                </c:pt>
                <c:pt idx="724">
                  <c:v>45328</c:v>
                </c:pt>
                <c:pt idx="725">
                  <c:v>45329</c:v>
                </c:pt>
                <c:pt idx="726">
                  <c:v>45330</c:v>
                </c:pt>
                <c:pt idx="727">
                  <c:v>45331</c:v>
                </c:pt>
                <c:pt idx="728">
                  <c:v>45334</c:v>
                </c:pt>
                <c:pt idx="729">
                  <c:v>45335</c:v>
                </c:pt>
                <c:pt idx="730">
                  <c:v>45336</c:v>
                </c:pt>
                <c:pt idx="731">
                  <c:v>45337</c:v>
                </c:pt>
                <c:pt idx="732">
                  <c:v>45338</c:v>
                </c:pt>
                <c:pt idx="733">
                  <c:v>45341</c:v>
                </c:pt>
                <c:pt idx="734">
                  <c:v>45342</c:v>
                </c:pt>
                <c:pt idx="735">
                  <c:v>45343</c:v>
                </c:pt>
                <c:pt idx="736">
                  <c:v>45344</c:v>
                </c:pt>
                <c:pt idx="737">
                  <c:v>45345</c:v>
                </c:pt>
                <c:pt idx="738">
                  <c:v>45348</c:v>
                </c:pt>
                <c:pt idx="739">
                  <c:v>45349</c:v>
                </c:pt>
                <c:pt idx="740">
                  <c:v>45350</c:v>
                </c:pt>
                <c:pt idx="741">
                  <c:v>45351</c:v>
                </c:pt>
                <c:pt idx="742">
                  <c:v>45352</c:v>
                </c:pt>
                <c:pt idx="743">
                  <c:v>45353</c:v>
                </c:pt>
                <c:pt idx="744">
                  <c:v>45355</c:v>
                </c:pt>
                <c:pt idx="745">
                  <c:v>45356</c:v>
                </c:pt>
                <c:pt idx="746">
                  <c:v>45357</c:v>
                </c:pt>
                <c:pt idx="747">
                  <c:v>45358</c:v>
                </c:pt>
                <c:pt idx="748">
                  <c:v>45362</c:v>
                </c:pt>
                <c:pt idx="749">
                  <c:v>45363</c:v>
                </c:pt>
                <c:pt idx="750">
                  <c:v>45364</c:v>
                </c:pt>
                <c:pt idx="751">
                  <c:v>45365</c:v>
                </c:pt>
                <c:pt idx="752">
                  <c:v>45366</c:v>
                </c:pt>
                <c:pt idx="753">
                  <c:v>45369</c:v>
                </c:pt>
                <c:pt idx="754">
                  <c:v>45370</c:v>
                </c:pt>
                <c:pt idx="755">
                  <c:v>45371</c:v>
                </c:pt>
                <c:pt idx="756">
                  <c:v>45372</c:v>
                </c:pt>
                <c:pt idx="757">
                  <c:v>45373</c:v>
                </c:pt>
                <c:pt idx="758">
                  <c:v>45377</c:v>
                </c:pt>
                <c:pt idx="759">
                  <c:v>45378</c:v>
                </c:pt>
                <c:pt idx="760">
                  <c:v>45379</c:v>
                </c:pt>
                <c:pt idx="761">
                  <c:v>45383</c:v>
                </c:pt>
                <c:pt idx="762">
                  <c:v>45384</c:v>
                </c:pt>
                <c:pt idx="763">
                  <c:v>45385</c:v>
                </c:pt>
                <c:pt idx="764">
                  <c:v>45386</c:v>
                </c:pt>
                <c:pt idx="765">
                  <c:v>45387</c:v>
                </c:pt>
                <c:pt idx="766">
                  <c:v>45390</c:v>
                </c:pt>
                <c:pt idx="767">
                  <c:v>45391</c:v>
                </c:pt>
                <c:pt idx="768">
                  <c:v>45392</c:v>
                </c:pt>
                <c:pt idx="769">
                  <c:v>45394</c:v>
                </c:pt>
                <c:pt idx="770">
                  <c:v>45397</c:v>
                </c:pt>
                <c:pt idx="771">
                  <c:v>45398</c:v>
                </c:pt>
                <c:pt idx="772">
                  <c:v>45400</c:v>
                </c:pt>
                <c:pt idx="773">
                  <c:v>45401</c:v>
                </c:pt>
                <c:pt idx="774">
                  <c:v>45404</c:v>
                </c:pt>
                <c:pt idx="775">
                  <c:v>45405</c:v>
                </c:pt>
                <c:pt idx="776">
                  <c:v>45406</c:v>
                </c:pt>
                <c:pt idx="777">
                  <c:v>45407</c:v>
                </c:pt>
                <c:pt idx="778">
                  <c:v>45408</c:v>
                </c:pt>
                <c:pt idx="779">
                  <c:v>45411</c:v>
                </c:pt>
                <c:pt idx="780">
                  <c:v>45412</c:v>
                </c:pt>
                <c:pt idx="781">
                  <c:v>45414</c:v>
                </c:pt>
                <c:pt idx="782">
                  <c:v>45415</c:v>
                </c:pt>
                <c:pt idx="783">
                  <c:v>45418</c:v>
                </c:pt>
                <c:pt idx="784">
                  <c:v>45419</c:v>
                </c:pt>
                <c:pt idx="785">
                  <c:v>45420</c:v>
                </c:pt>
                <c:pt idx="786">
                  <c:v>45421</c:v>
                </c:pt>
                <c:pt idx="787">
                  <c:v>45422</c:v>
                </c:pt>
                <c:pt idx="788">
                  <c:v>45425</c:v>
                </c:pt>
                <c:pt idx="789">
                  <c:v>45426</c:v>
                </c:pt>
                <c:pt idx="790">
                  <c:v>45427</c:v>
                </c:pt>
                <c:pt idx="791">
                  <c:v>45428</c:v>
                </c:pt>
                <c:pt idx="792">
                  <c:v>45429</c:v>
                </c:pt>
                <c:pt idx="793">
                  <c:v>45430</c:v>
                </c:pt>
                <c:pt idx="794">
                  <c:v>45433</c:v>
                </c:pt>
                <c:pt idx="795">
                  <c:v>45434</c:v>
                </c:pt>
                <c:pt idx="796">
                  <c:v>45435</c:v>
                </c:pt>
                <c:pt idx="797">
                  <c:v>45436</c:v>
                </c:pt>
                <c:pt idx="798">
                  <c:v>45439</c:v>
                </c:pt>
                <c:pt idx="799">
                  <c:v>45440</c:v>
                </c:pt>
                <c:pt idx="800">
                  <c:v>45441</c:v>
                </c:pt>
                <c:pt idx="801">
                  <c:v>45442</c:v>
                </c:pt>
                <c:pt idx="802">
                  <c:v>45443</c:v>
                </c:pt>
                <c:pt idx="803">
                  <c:v>45446</c:v>
                </c:pt>
                <c:pt idx="804">
                  <c:v>45447</c:v>
                </c:pt>
                <c:pt idx="805">
                  <c:v>45448</c:v>
                </c:pt>
                <c:pt idx="806">
                  <c:v>45449</c:v>
                </c:pt>
                <c:pt idx="807">
                  <c:v>45450</c:v>
                </c:pt>
                <c:pt idx="808">
                  <c:v>45453</c:v>
                </c:pt>
                <c:pt idx="809">
                  <c:v>45454</c:v>
                </c:pt>
                <c:pt idx="810">
                  <c:v>45455</c:v>
                </c:pt>
                <c:pt idx="811">
                  <c:v>45456</c:v>
                </c:pt>
                <c:pt idx="812">
                  <c:v>45457</c:v>
                </c:pt>
                <c:pt idx="813">
                  <c:v>45461</c:v>
                </c:pt>
                <c:pt idx="814">
                  <c:v>45462</c:v>
                </c:pt>
                <c:pt idx="815">
                  <c:v>45463</c:v>
                </c:pt>
                <c:pt idx="816">
                  <c:v>45464</c:v>
                </c:pt>
                <c:pt idx="817">
                  <c:v>45467</c:v>
                </c:pt>
                <c:pt idx="818">
                  <c:v>45468</c:v>
                </c:pt>
                <c:pt idx="819">
                  <c:v>45469</c:v>
                </c:pt>
                <c:pt idx="820">
                  <c:v>45470</c:v>
                </c:pt>
                <c:pt idx="821">
                  <c:v>45471</c:v>
                </c:pt>
                <c:pt idx="822">
                  <c:v>45474</c:v>
                </c:pt>
                <c:pt idx="823">
                  <c:v>45475</c:v>
                </c:pt>
                <c:pt idx="824">
                  <c:v>45476</c:v>
                </c:pt>
                <c:pt idx="825">
                  <c:v>45477</c:v>
                </c:pt>
                <c:pt idx="826">
                  <c:v>45478</c:v>
                </c:pt>
                <c:pt idx="827">
                  <c:v>45481</c:v>
                </c:pt>
                <c:pt idx="828">
                  <c:v>45482</c:v>
                </c:pt>
                <c:pt idx="829">
                  <c:v>45483</c:v>
                </c:pt>
                <c:pt idx="830">
                  <c:v>45484</c:v>
                </c:pt>
                <c:pt idx="831">
                  <c:v>45485</c:v>
                </c:pt>
                <c:pt idx="832">
                  <c:v>45488</c:v>
                </c:pt>
                <c:pt idx="833">
                  <c:v>45489</c:v>
                </c:pt>
                <c:pt idx="834">
                  <c:v>45491</c:v>
                </c:pt>
                <c:pt idx="835">
                  <c:v>45492</c:v>
                </c:pt>
                <c:pt idx="836">
                  <c:v>45495</c:v>
                </c:pt>
                <c:pt idx="837">
                  <c:v>45496</c:v>
                </c:pt>
                <c:pt idx="838">
                  <c:v>45497</c:v>
                </c:pt>
                <c:pt idx="839">
                  <c:v>45498</c:v>
                </c:pt>
                <c:pt idx="840">
                  <c:v>45499</c:v>
                </c:pt>
                <c:pt idx="841">
                  <c:v>45502</c:v>
                </c:pt>
                <c:pt idx="842">
                  <c:v>45503</c:v>
                </c:pt>
                <c:pt idx="843">
                  <c:v>45504</c:v>
                </c:pt>
                <c:pt idx="844">
                  <c:v>45505</c:v>
                </c:pt>
                <c:pt idx="845">
                  <c:v>45506</c:v>
                </c:pt>
                <c:pt idx="846">
                  <c:v>45509</c:v>
                </c:pt>
                <c:pt idx="847">
                  <c:v>45510</c:v>
                </c:pt>
                <c:pt idx="848">
                  <c:v>45511</c:v>
                </c:pt>
                <c:pt idx="849">
                  <c:v>45512</c:v>
                </c:pt>
                <c:pt idx="850">
                  <c:v>45513</c:v>
                </c:pt>
                <c:pt idx="851">
                  <c:v>45516</c:v>
                </c:pt>
                <c:pt idx="852">
                  <c:v>45517</c:v>
                </c:pt>
                <c:pt idx="853">
                  <c:v>45518</c:v>
                </c:pt>
                <c:pt idx="854">
                  <c:v>45520</c:v>
                </c:pt>
                <c:pt idx="855">
                  <c:v>45523</c:v>
                </c:pt>
                <c:pt idx="856">
                  <c:v>45524</c:v>
                </c:pt>
                <c:pt idx="857">
                  <c:v>45525</c:v>
                </c:pt>
                <c:pt idx="858">
                  <c:v>45526</c:v>
                </c:pt>
                <c:pt idx="859">
                  <c:v>45527</c:v>
                </c:pt>
                <c:pt idx="860">
                  <c:v>45530</c:v>
                </c:pt>
                <c:pt idx="861">
                  <c:v>45531</c:v>
                </c:pt>
                <c:pt idx="862">
                  <c:v>45532</c:v>
                </c:pt>
                <c:pt idx="863">
                  <c:v>45533</c:v>
                </c:pt>
                <c:pt idx="864">
                  <c:v>45534</c:v>
                </c:pt>
                <c:pt idx="865">
                  <c:v>45537</c:v>
                </c:pt>
                <c:pt idx="866">
                  <c:v>45538</c:v>
                </c:pt>
                <c:pt idx="867">
                  <c:v>45539</c:v>
                </c:pt>
                <c:pt idx="868">
                  <c:v>45540</c:v>
                </c:pt>
                <c:pt idx="869">
                  <c:v>45541</c:v>
                </c:pt>
                <c:pt idx="870">
                  <c:v>45544</c:v>
                </c:pt>
                <c:pt idx="871">
                  <c:v>45545</c:v>
                </c:pt>
                <c:pt idx="872">
                  <c:v>45546</c:v>
                </c:pt>
                <c:pt idx="873">
                  <c:v>45547</c:v>
                </c:pt>
                <c:pt idx="874">
                  <c:v>45548</c:v>
                </c:pt>
                <c:pt idx="875">
                  <c:v>45551</c:v>
                </c:pt>
                <c:pt idx="876">
                  <c:v>45552</c:v>
                </c:pt>
                <c:pt idx="877">
                  <c:v>45553</c:v>
                </c:pt>
                <c:pt idx="878">
                  <c:v>45554</c:v>
                </c:pt>
                <c:pt idx="879">
                  <c:v>45555</c:v>
                </c:pt>
                <c:pt idx="880">
                  <c:v>45558</c:v>
                </c:pt>
                <c:pt idx="881">
                  <c:v>45559</c:v>
                </c:pt>
                <c:pt idx="882">
                  <c:v>45560</c:v>
                </c:pt>
                <c:pt idx="883">
                  <c:v>45561</c:v>
                </c:pt>
                <c:pt idx="884">
                  <c:v>45562</c:v>
                </c:pt>
                <c:pt idx="885">
                  <c:v>45565</c:v>
                </c:pt>
                <c:pt idx="886">
                  <c:v>45566</c:v>
                </c:pt>
                <c:pt idx="887">
                  <c:v>45568</c:v>
                </c:pt>
                <c:pt idx="888">
                  <c:v>45569</c:v>
                </c:pt>
                <c:pt idx="889">
                  <c:v>45572</c:v>
                </c:pt>
                <c:pt idx="890">
                  <c:v>45573</c:v>
                </c:pt>
                <c:pt idx="891">
                  <c:v>45574</c:v>
                </c:pt>
                <c:pt idx="892">
                  <c:v>45575</c:v>
                </c:pt>
                <c:pt idx="893">
                  <c:v>45576</c:v>
                </c:pt>
                <c:pt idx="894">
                  <c:v>45579</c:v>
                </c:pt>
                <c:pt idx="895">
                  <c:v>45580</c:v>
                </c:pt>
                <c:pt idx="896">
                  <c:v>45581</c:v>
                </c:pt>
                <c:pt idx="897">
                  <c:v>45582</c:v>
                </c:pt>
                <c:pt idx="898">
                  <c:v>45583</c:v>
                </c:pt>
                <c:pt idx="899">
                  <c:v>45586</c:v>
                </c:pt>
                <c:pt idx="900">
                  <c:v>45587</c:v>
                </c:pt>
                <c:pt idx="901">
                  <c:v>45588</c:v>
                </c:pt>
                <c:pt idx="902">
                  <c:v>45589</c:v>
                </c:pt>
                <c:pt idx="903">
                  <c:v>45590</c:v>
                </c:pt>
                <c:pt idx="904">
                  <c:v>45593</c:v>
                </c:pt>
                <c:pt idx="905">
                  <c:v>45594</c:v>
                </c:pt>
                <c:pt idx="906">
                  <c:v>45595</c:v>
                </c:pt>
                <c:pt idx="907">
                  <c:v>45596</c:v>
                </c:pt>
                <c:pt idx="908">
                  <c:v>45597</c:v>
                </c:pt>
                <c:pt idx="909">
                  <c:v>45600</c:v>
                </c:pt>
                <c:pt idx="910">
                  <c:v>45601</c:v>
                </c:pt>
                <c:pt idx="911">
                  <c:v>45602</c:v>
                </c:pt>
                <c:pt idx="912">
                  <c:v>45603</c:v>
                </c:pt>
                <c:pt idx="913">
                  <c:v>45604</c:v>
                </c:pt>
                <c:pt idx="914">
                  <c:v>45607</c:v>
                </c:pt>
                <c:pt idx="915">
                  <c:v>45608</c:v>
                </c:pt>
                <c:pt idx="916">
                  <c:v>45609</c:v>
                </c:pt>
                <c:pt idx="917">
                  <c:v>45610</c:v>
                </c:pt>
                <c:pt idx="918">
                  <c:v>45614</c:v>
                </c:pt>
                <c:pt idx="919">
                  <c:v>45615</c:v>
                </c:pt>
                <c:pt idx="920">
                  <c:v>45617</c:v>
                </c:pt>
                <c:pt idx="921">
                  <c:v>45618</c:v>
                </c:pt>
                <c:pt idx="922">
                  <c:v>45621</c:v>
                </c:pt>
                <c:pt idx="923">
                  <c:v>45622</c:v>
                </c:pt>
                <c:pt idx="924">
                  <c:v>45623</c:v>
                </c:pt>
                <c:pt idx="925">
                  <c:v>45624</c:v>
                </c:pt>
                <c:pt idx="926">
                  <c:v>45625</c:v>
                </c:pt>
                <c:pt idx="927">
                  <c:v>45628</c:v>
                </c:pt>
                <c:pt idx="928">
                  <c:v>45629</c:v>
                </c:pt>
                <c:pt idx="929">
                  <c:v>45630</c:v>
                </c:pt>
                <c:pt idx="930">
                  <c:v>45631</c:v>
                </c:pt>
                <c:pt idx="931">
                  <c:v>45632</c:v>
                </c:pt>
                <c:pt idx="932">
                  <c:v>45635</c:v>
                </c:pt>
                <c:pt idx="933">
                  <c:v>45636</c:v>
                </c:pt>
                <c:pt idx="934">
                  <c:v>45637</c:v>
                </c:pt>
                <c:pt idx="935">
                  <c:v>45638</c:v>
                </c:pt>
                <c:pt idx="936">
                  <c:v>45639</c:v>
                </c:pt>
                <c:pt idx="937">
                  <c:v>45642</c:v>
                </c:pt>
                <c:pt idx="938">
                  <c:v>45643</c:v>
                </c:pt>
                <c:pt idx="939">
                  <c:v>45644</c:v>
                </c:pt>
                <c:pt idx="940">
                  <c:v>45645</c:v>
                </c:pt>
                <c:pt idx="941">
                  <c:v>45646</c:v>
                </c:pt>
                <c:pt idx="942">
                  <c:v>45649</c:v>
                </c:pt>
                <c:pt idx="943">
                  <c:v>45650</c:v>
                </c:pt>
                <c:pt idx="944">
                  <c:v>45652</c:v>
                </c:pt>
                <c:pt idx="945">
                  <c:v>45653</c:v>
                </c:pt>
                <c:pt idx="946">
                  <c:v>45656</c:v>
                </c:pt>
                <c:pt idx="947">
                  <c:v>45657</c:v>
                </c:pt>
                <c:pt idx="948">
                  <c:v>45658</c:v>
                </c:pt>
                <c:pt idx="949">
                  <c:v>45659</c:v>
                </c:pt>
                <c:pt idx="950">
                  <c:v>45660</c:v>
                </c:pt>
                <c:pt idx="951">
                  <c:v>45663</c:v>
                </c:pt>
                <c:pt idx="952">
                  <c:v>45664</c:v>
                </c:pt>
                <c:pt idx="953">
                  <c:v>45665</c:v>
                </c:pt>
                <c:pt idx="954">
                  <c:v>45666</c:v>
                </c:pt>
                <c:pt idx="955">
                  <c:v>45667</c:v>
                </c:pt>
                <c:pt idx="956">
                  <c:v>45670</c:v>
                </c:pt>
                <c:pt idx="957">
                  <c:v>45671</c:v>
                </c:pt>
                <c:pt idx="958">
                  <c:v>45672</c:v>
                </c:pt>
                <c:pt idx="959">
                  <c:v>45673</c:v>
                </c:pt>
                <c:pt idx="960">
                  <c:v>45674</c:v>
                </c:pt>
                <c:pt idx="961">
                  <c:v>45677</c:v>
                </c:pt>
                <c:pt idx="962">
                  <c:v>45678</c:v>
                </c:pt>
                <c:pt idx="963">
                  <c:v>45679</c:v>
                </c:pt>
                <c:pt idx="964">
                  <c:v>45680</c:v>
                </c:pt>
                <c:pt idx="965">
                  <c:v>45681</c:v>
                </c:pt>
                <c:pt idx="966">
                  <c:v>45684</c:v>
                </c:pt>
                <c:pt idx="967">
                  <c:v>45685</c:v>
                </c:pt>
                <c:pt idx="968">
                  <c:v>45686</c:v>
                </c:pt>
                <c:pt idx="969">
                  <c:v>45687</c:v>
                </c:pt>
                <c:pt idx="970">
                  <c:v>45688</c:v>
                </c:pt>
                <c:pt idx="971">
                  <c:v>45689</c:v>
                </c:pt>
                <c:pt idx="972">
                  <c:v>45691</c:v>
                </c:pt>
                <c:pt idx="973">
                  <c:v>45692</c:v>
                </c:pt>
                <c:pt idx="974">
                  <c:v>45693</c:v>
                </c:pt>
                <c:pt idx="975">
                  <c:v>45694</c:v>
                </c:pt>
                <c:pt idx="976">
                  <c:v>45695</c:v>
                </c:pt>
                <c:pt idx="977">
                  <c:v>45698</c:v>
                </c:pt>
                <c:pt idx="978">
                  <c:v>45699</c:v>
                </c:pt>
                <c:pt idx="979">
                  <c:v>45700</c:v>
                </c:pt>
                <c:pt idx="980">
                  <c:v>45701</c:v>
                </c:pt>
                <c:pt idx="981">
                  <c:v>45702</c:v>
                </c:pt>
                <c:pt idx="982">
                  <c:v>45705</c:v>
                </c:pt>
                <c:pt idx="983">
                  <c:v>45706</c:v>
                </c:pt>
                <c:pt idx="984">
                  <c:v>45707</c:v>
                </c:pt>
                <c:pt idx="985">
                  <c:v>45708</c:v>
                </c:pt>
                <c:pt idx="986">
                  <c:v>45709</c:v>
                </c:pt>
                <c:pt idx="987">
                  <c:v>45712</c:v>
                </c:pt>
                <c:pt idx="988">
                  <c:v>45713</c:v>
                </c:pt>
                <c:pt idx="989">
                  <c:v>45715</c:v>
                </c:pt>
                <c:pt idx="990">
                  <c:v>45716</c:v>
                </c:pt>
                <c:pt idx="991">
                  <c:v>45719</c:v>
                </c:pt>
                <c:pt idx="992">
                  <c:v>45720</c:v>
                </c:pt>
                <c:pt idx="993">
                  <c:v>45721</c:v>
                </c:pt>
                <c:pt idx="994">
                  <c:v>45722</c:v>
                </c:pt>
                <c:pt idx="995">
                  <c:v>45723</c:v>
                </c:pt>
                <c:pt idx="996">
                  <c:v>45726</c:v>
                </c:pt>
                <c:pt idx="997">
                  <c:v>45727</c:v>
                </c:pt>
                <c:pt idx="998">
                  <c:v>45728</c:v>
                </c:pt>
                <c:pt idx="999">
                  <c:v>45729</c:v>
                </c:pt>
                <c:pt idx="1000">
                  <c:v>45733</c:v>
                </c:pt>
                <c:pt idx="1001">
                  <c:v>45734</c:v>
                </c:pt>
                <c:pt idx="1002">
                  <c:v>45735</c:v>
                </c:pt>
                <c:pt idx="1003">
                  <c:v>45736</c:v>
                </c:pt>
                <c:pt idx="1004">
                  <c:v>45737</c:v>
                </c:pt>
                <c:pt idx="1005">
                  <c:v>45740</c:v>
                </c:pt>
                <c:pt idx="1006">
                  <c:v>45741</c:v>
                </c:pt>
                <c:pt idx="1007">
                  <c:v>45742</c:v>
                </c:pt>
                <c:pt idx="1008">
                  <c:v>45743</c:v>
                </c:pt>
                <c:pt idx="1009">
                  <c:v>45744</c:v>
                </c:pt>
                <c:pt idx="1010">
                  <c:v>45748</c:v>
                </c:pt>
                <c:pt idx="1011">
                  <c:v>45749</c:v>
                </c:pt>
                <c:pt idx="1012">
                  <c:v>45750</c:v>
                </c:pt>
                <c:pt idx="1013">
                  <c:v>45751</c:v>
                </c:pt>
                <c:pt idx="1014">
                  <c:v>45754</c:v>
                </c:pt>
                <c:pt idx="1015">
                  <c:v>45755</c:v>
                </c:pt>
                <c:pt idx="1016">
                  <c:v>45756</c:v>
                </c:pt>
                <c:pt idx="1017">
                  <c:v>45758</c:v>
                </c:pt>
                <c:pt idx="1018">
                  <c:v>45762</c:v>
                </c:pt>
                <c:pt idx="1019">
                  <c:v>45763</c:v>
                </c:pt>
                <c:pt idx="1020">
                  <c:v>45764</c:v>
                </c:pt>
                <c:pt idx="1021">
                  <c:v>45768</c:v>
                </c:pt>
                <c:pt idx="1022">
                  <c:v>45769</c:v>
                </c:pt>
                <c:pt idx="1023">
                  <c:v>45770</c:v>
                </c:pt>
                <c:pt idx="1024">
                  <c:v>45771</c:v>
                </c:pt>
                <c:pt idx="1025">
                  <c:v>45772</c:v>
                </c:pt>
                <c:pt idx="1026">
                  <c:v>45775</c:v>
                </c:pt>
                <c:pt idx="1027">
                  <c:v>45776</c:v>
                </c:pt>
                <c:pt idx="1028">
                  <c:v>45777</c:v>
                </c:pt>
                <c:pt idx="1029">
                  <c:v>45779</c:v>
                </c:pt>
                <c:pt idx="1030">
                  <c:v>45782</c:v>
                </c:pt>
                <c:pt idx="1031">
                  <c:v>45783</c:v>
                </c:pt>
                <c:pt idx="1032">
                  <c:v>45784</c:v>
                </c:pt>
                <c:pt idx="1033">
                  <c:v>45785</c:v>
                </c:pt>
                <c:pt idx="1034">
                  <c:v>45786</c:v>
                </c:pt>
                <c:pt idx="1035">
                  <c:v>45789</c:v>
                </c:pt>
                <c:pt idx="1036">
                  <c:v>45790</c:v>
                </c:pt>
                <c:pt idx="1037">
                  <c:v>45791</c:v>
                </c:pt>
                <c:pt idx="1038">
                  <c:v>45792</c:v>
                </c:pt>
                <c:pt idx="1039">
                  <c:v>45793</c:v>
                </c:pt>
                <c:pt idx="1040">
                  <c:v>45796</c:v>
                </c:pt>
                <c:pt idx="1041">
                  <c:v>45797</c:v>
                </c:pt>
                <c:pt idx="1042">
                  <c:v>45798</c:v>
                </c:pt>
                <c:pt idx="1043">
                  <c:v>45799</c:v>
                </c:pt>
                <c:pt idx="1044">
                  <c:v>45800</c:v>
                </c:pt>
                <c:pt idx="1045">
                  <c:v>45803</c:v>
                </c:pt>
                <c:pt idx="1046">
                  <c:v>45804</c:v>
                </c:pt>
                <c:pt idx="1047">
                  <c:v>45805</c:v>
                </c:pt>
                <c:pt idx="1048">
                  <c:v>45806</c:v>
                </c:pt>
                <c:pt idx="1049">
                  <c:v>45807</c:v>
                </c:pt>
                <c:pt idx="1050">
                  <c:v>45810</c:v>
                </c:pt>
                <c:pt idx="1051">
                  <c:v>45811</c:v>
                </c:pt>
                <c:pt idx="1052">
                  <c:v>45812</c:v>
                </c:pt>
                <c:pt idx="1053">
                  <c:v>45813</c:v>
                </c:pt>
                <c:pt idx="1054">
                  <c:v>45814</c:v>
                </c:pt>
                <c:pt idx="1055">
                  <c:v>45817</c:v>
                </c:pt>
                <c:pt idx="1056">
                  <c:v>45818</c:v>
                </c:pt>
                <c:pt idx="1057">
                  <c:v>45819</c:v>
                </c:pt>
                <c:pt idx="1058">
                  <c:v>45820</c:v>
                </c:pt>
                <c:pt idx="1059">
                  <c:v>45821</c:v>
                </c:pt>
                <c:pt idx="1060">
                  <c:v>45824</c:v>
                </c:pt>
                <c:pt idx="1061">
                  <c:v>45825</c:v>
                </c:pt>
                <c:pt idx="1062">
                  <c:v>45826</c:v>
                </c:pt>
                <c:pt idx="1063">
                  <c:v>45827</c:v>
                </c:pt>
                <c:pt idx="1064">
                  <c:v>45828</c:v>
                </c:pt>
                <c:pt idx="1065">
                  <c:v>45831</c:v>
                </c:pt>
                <c:pt idx="1066">
                  <c:v>45832</c:v>
                </c:pt>
                <c:pt idx="1067">
                  <c:v>45833</c:v>
                </c:pt>
                <c:pt idx="1068">
                  <c:v>45834</c:v>
                </c:pt>
                <c:pt idx="1069">
                  <c:v>45835</c:v>
                </c:pt>
                <c:pt idx="1070">
                  <c:v>45838</c:v>
                </c:pt>
                <c:pt idx="1071">
                  <c:v>45839</c:v>
                </c:pt>
                <c:pt idx="1072">
                  <c:v>45840</c:v>
                </c:pt>
                <c:pt idx="1073">
                  <c:v>45841</c:v>
                </c:pt>
                <c:pt idx="1074">
                  <c:v>45842</c:v>
                </c:pt>
                <c:pt idx="1075">
                  <c:v>45845</c:v>
                </c:pt>
                <c:pt idx="1076">
                  <c:v>45846</c:v>
                </c:pt>
                <c:pt idx="1077">
                  <c:v>45847</c:v>
                </c:pt>
                <c:pt idx="1078">
                  <c:v>45848</c:v>
                </c:pt>
                <c:pt idx="1079">
                  <c:v>45849</c:v>
                </c:pt>
                <c:pt idx="1080">
                  <c:v>45852</c:v>
                </c:pt>
                <c:pt idx="1081">
                  <c:v>45853</c:v>
                </c:pt>
                <c:pt idx="1082">
                  <c:v>45854</c:v>
                </c:pt>
                <c:pt idx="1083">
                  <c:v>45855</c:v>
                </c:pt>
                <c:pt idx="1084">
                  <c:v>45856</c:v>
                </c:pt>
                <c:pt idx="1085">
                  <c:v>45859</c:v>
                </c:pt>
                <c:pt idx="1086">
                  <c:v>45860</c:v>
                </c:pt>
                <c:pt idx="1087">
                  <c:v>45861</c:v>
                </c:pt>
                <c:pt idx="1088">
                  <c:v>45862</c:v>
                </c:pt>
                <c:pt idx="1089">
                  <c:v>45863</c:v>
                </c:pt>
                <c:pt idx="1090">
                  <c:v>45866</c:v>
                </c:pt>
                <c:pt idx="1091">
                  <c:v>45867</c:v>
                </c:pt>
                <c:pt idx="1092">
                  <c:v>45868</c:v>
                </c:pt>
                <c:pt idx="1093">
                  <c:v>45869</c:v>
                </c:pt>
                <c:pt idx="1094">
                  <c:v>45870</c:v>
                </c:pt>
                <c:pt idx="1095">
                  <c:v>45873</c:v>
                </c:pt>
                <c:pt idx="1096">
                  <c:v>45874</c:v>
                </c:pt>
                <c:pt idx="1097">
                  <c:v>45875</c:v>
                </c:pt>
                <c:pt idx="1098">
                  <c:v>45876</c:v>
                </c:pt>
                <c:pt idx="1099">
                  <c:v>45877</c:v>
                </c:pt>
                <c:pt idx="1100">
                  <c:v>45880</c:v>
                </c:pt>
                <c:pt idx="1101">
                  <c:v>45881</c:v>
                </c:pt>
                <c:pt idx="1102">
                  <c:v>45882</c:v>
                </c:pt>
                <c:pt idx="1103">
                  <c:v>45883</c:v>
                </c:pt>
                <c:pt idx="1104">
                  <c:v>45887</c:v>
                </c:pt>
                <c:pt idx="1105">
                  <c:v>45888</c:v>
                </c:pt>
                <c:pt idx="1106">
                  <c:v>45889</c:v>
                </c:pt>
                <c:pt idx="1107">
                  <c:v>45890</c:v>
                </c:pt>
                <c:pt idx="1108">
                  <c:v>45891</c:v>
                </c:pt>
                <c:pt idx="1109">
                  <c:v>45894</c:v>
                </c:pt>
                <c:pt idx="1110">
                  <c:v>45895</c:v>
                </c:pt>
                <c:pt idx="1111">
                  <c:v>45897</c:v>
                </c:pt>
                <c:pt idx="1112">
                  <c:v>45898</c:v>
                </c:pt>
                <c:pt idx="1113">
                  <c:v>45901</c:v>
                </c:pt>
                <c:pt idx="1114">
                  <c:v>45902</c:v>
                </c:pt>
                <c:pt idx="1115">
                  <c:v>45903</c:v>
                </c:pt>
                <c:pt idx="1116">
                  <c:v>45904</c:v>
                </c:pt>
                <c:pt idx="1117">
                  <c:v>45905</c:v>
                </c:pt>
                <c:pt idx="1118">
                  <c:v>45908</c:v>
                </c:pt>
                <c:pt idx="1119">
                  <c:v>45909</c:v>
                </c:pt>
                <c:pt idx="1120">
                  <c:v>45910</c:v>
                </c:pt>
                <c:pt idx="1121">
                  <c:v>45911</c:v>
                </c:pt>
                <c:pt idx="1122">
                  <c:v>45912</c:v>
                </c:pt>
                <c:pt idx="1123">
                  <c:v>45915</c:v>
                </c:pt>
                <c:pt idx="1124">
                  <c:v>45916</c:v>
                </c:pt>
                <c:pt idx="1125">
                  <c:v>45917</c:v>
                </c:pt>
                <c:pt idx="1126">
                  <c:v>45918</c:v>
                </c:pt>
                <c:pt idx="1127">
                  <c:v>45919</c:v>
                </c:pt>
                <c:pt idx="1128">
                  <c:v>45922</c:v>
                </c:pt>
                <c:pt idx="1129">
                  <c:v>45923</c:v>
                </c:pt>
                <c:pt idx="1130">
                  <c:v>45924</c:v>
                </c:pt>
                <c:pt idx="1131">
                  <c:v>45925</c:v>
                </c:pt>
                <c:pt idx="1132">
                  <c:v>45926</c:v>
                </c:pt>
                <c:pt idx="1133">
                  <c:v>45929</c:v>
                </c:pt>
                <c:pt idx="1134">
                  <c:v>45930</c:v>
                </c:pt>
                <c:pt idx="1135">
                  <c:v>45931</c:v>
                </c:pt>
                <c:pt idx="1136">
                  <c:v>45933</c:v>
                </c:pt>
                <c:pt idx="1137">
                  <c:v>45936</c:v>
                </c:pt>
                <c:pt idx="1138">
                  <c:v>45937</c:v>
                </c:pt>
                <c:pt idx="1139">
                  <c:v>45938</c:v>
                </c:pt>
                <c:pt idx="1140">
                  <c:v>45939</c:v>
                </c:pt>
                <c:pt idx="1141">
                  <c:v>45940</c:v>
                </c:pt>
                <c:pt idx="1142">
                  <c:v>45943</c:v>
                </c:pt>
                <c:pt idx="1143">
                  <c:v>45944</c:v>
                </c:pt>
                <c:pt idx="1144">
                  <c:v>45945</c:v>
                </c:pt>
                <c:pt idx="1145">
                  <c:v>45946</c:v>
                </c:pt>
                <c:pt idx="1146">
                  <c:v>45947</c:v>
                </c:pt>
                <c:pt idx="1147">
                  <c:v>45950</c:v>
                </c:pt>
                <c:pt idx="1148">
                  <c:v>45951</c:v>
                </c:pt>
                <c:pt idx="1149">
                  <c:v>45953</c:v>
                </c:pt>
                <c:pt idx="1150">
                  <c:v>45954</c:v>
                </c:pt>
                <c:pt idx="1151">
                  <c:v>45957</c:v>
                </c:pt>
                <c:pt idx="1152">
                  <c:v>45958</c:v>
                </c:pt>
                <c:pt idx="1153">
                  <c:v>45959</c:v>
                </c:pt>
                <c:pt idx="1154">
                  <c:v>45960</c:v>
                </c:pt>
                <c:pt idx="1155">
                  <c:v>45961</c:v>
                </c:pt>
                <c:pt idx="1156">
                  <c:v>45964</c:v>
                </c:pt>
                <c:pt idx="1157">
                  <c:v>45965</c:v>
                </c:pt>
                <c:pt idx="1158">
                  <c:v>45967</c:v>
                </c:pt>
                <c:pt idx="1159">
                  <c:v>45968</c:v>
                </c:pt>
                <c:pt idx="1160">
                  <c:v>45971</c:v>
                </c:pt>
                <c:pt idx="1161">
                  <c:v>45972</c:v>
                </c:pt>
                <c:pt idx="1162">
                  <c:v>45973</c:v>
                </c:pt>
                <c:pt idx="1163">
                  <c:v>45974</c:v>
                </c:pt>
                <c:pt idx="1164">
                  <c:v>45975</c:v>
                </c:pt>
                <c:pt idx="1165">
                  <c:v>45978</c:v>
                </c:pt>
                <c:pt idx="1166">
                  <c:v>45979</c:v>
                </c:pt>
                <c:pt idx="1167">
                  <c:v>45980</c:v>
                </c:pt>
                <c:pt idx="1168">
                  <c:v>45981</c:v>
                </c:pt>
                <c:pt idx="1169">
                  <c:v>45982</c:v>
                </c:pt>
                <c:pt idx="1170">
                  <c:v>45985</c:v>
                </c:pt>
                <c:pt idx="1171">
                  <c:v>45986</c:v>
                </c:pt>
                <c:pt idx="1172">
                  <c:v>45987</c:v>
                </c:pt>
                <c:pt idx="1173">
                  <c:v>45988</c:v>
                </c:pt>
                <c:pt idx="1174">
                  <c:v>45989</c:v>
                </c:pt>
                <c:pt idx="1175">
                  <c:v>45992</c:v>
                </c:pt>
                <c:pt idx="1176">
                  <c:v>45993</c:v>
                </c:pt>
                <c:pt idx="1177">
                  <c:v>45994</c:v>
                </c:pt>
                <c:pt idx="1178">
                  <c:v>45995</c:v>
                </c:pt>
                <c:pt idx="1179">
                  <c:v>45996</c:v>
                </c:pt>
                <c:pt idx="1180">
                  <c:v>45999</c:v>
                </c:pt>
                <c:pt idx="1181">
                  <c:v>46000</c:v>
                </c:pt>
                <c:pt idx="1182">
                  <c:v>46001</c:v>
                </c:pt>
                <c:pt idx="1183">
                  <c:v>46002</c:v>
                </c:pt>
                <c:pt idx="1184">
                  <c:v>46003</c:v>
                </c:pt>
                <c:pt idx="1185">
                  <c:v>46006</c:v>
                </c:pt>
                <c:pt idx="1186">
                  <c:v>46007</c:v>
                </c:pt>
                <c:pt idx="1187">
                  <c:v>46008</c:v>
                </c:pt>
                <c:pt idx="1188">
                  <c:v>46009</c:v>
                </c:pt>
                <c:pt idx="1189">
                  <c:v>46010</c:v>
                </c:pt>
                <c:pt idx="1190">
                  <c:v>46013</c:v>
                </c:pt>
                <c:pt idx="1191">
                  <c:v>46014</c:v>
                </c:pt>
                <c:pt idx="1192">
                  <c:v>46015</c:v>
                </c:pt>
                <c:pt idx="1193">
                  <c:v>46017</c:v>
                </c:pt>
                <c:pt idx="1194">
                  <c:v>46020</c:v>
                </c:pt>
                <c:pt idx="1195">
                  <c:v>46021</c:v>
                </c:pt>
                <c:pt idx="1196">
                  <c:v>46022</c:v>
                </c:pt>
                <c:pt idx="1197">
                  <c:v>46023</c:v>
                </c:pt>
                <c:pt idx="1198">
                  <c:v>46024</c:v>
                </c:pt>
                <c:pt idx="1199">
                  <c:v>46027</c:v>
                </c:pt>
                <c:pt idx="1200">
                  <c:v>46028</c:v>
                </c:pt>
                <c:pt idx="1201">
                  <c:v>46029</c:v>
                </c:pt>
                <c:pt idx="1202">
                  <c:v>46030</c:v>
                </c:pt>
                <c:pt idx="1203">
                  <c:v>46031</c:v>
                </c:pt>
                <c:pt idx="1204">
                  <c:v>46034</c:v>
                </c:pt>
                <c:pt idx="1205">
                  <c:v>46035</c:v>
                </c:pt>
                <c:pt idx="1206">
                  <c:v>46036</c:v>
                </c:pt>
                <c:pt idx="1207">
                  <c:v>46038</c:v>
                </c:pt>
                <c:pt idx="1208">
                  <c:v>46041</c:v>
                </c:pt>
                <c:pt idx="1209">
                  <c:v>46042</c:v>
                </c:pt>
                <c:pt idx="1210">
                  <c:v>46043</c:v>
                </c:pt>
                <c:pt idx="1211">
                  <c:v>46044</c:v>
                </c:pt>
                <c:pt idx="1212">
                  <c:v>46045</c:v>
                </c:pt>
                <c:pt idx="1213">
                  <c:v>46049</c:v>
                </c:pt>
                <c:pt idx="1214">
                  <c:v>46050</c:v>
                </c:pt>
                <c:pt idx="1215">
                  <c:v>46051</c:v>
                </c:pt>
                <c:pt idx="1216">
                  <c:v>46052</c:v>
                </c:pt>
                <c:pt idx="1217">
                  <c:v>46054</c:v>
                </c:pt>
                <c:pt idx="1218">
                  <c:v>46055</c:v>
                </c:pt>
                <c:pt idx="1219">
                  <c:v>46056</c:v>
                </c:pt>
                <c:pt idx="1220">
                  <c:v>46057</c:v>
                </c:pt>
                <c:pt idx="1221">
                  <c:v>46058</c:v>
                </c:pt>
                <c:pt idx="1222">
                  <c:v>46059</c:v>
                </c:pt>
                <c:pt idx="1223">
                  <c:v>46062</c:v>
                </c:pt>
                <c:pt idx="1224">
                  <c:v>46063</c:v>
                </c:pt>
                <c:pt idx="1225">
                  <c:v>46064</c:v>
                </c:pt>
                <c:pt idx="1226">
                  <c:v>46065</c:v>
                </c:pt>
                <c:pt idx="1227">
                  <c:v>46066</c:v>
                </c:pt>
                <c:pt idx="1228">
                  <c:v>46069</c:v>
                </c:pt>
                <c:pt idx="1229">
                  <c:v>46070</c:v>
                </c:pt>
                <c:pt idx="1230">
                  <c:v>46071</c:v>
                </c:pt>
                <c:pt idx="1231">
                  <c:v>46072</c:v>
                </c:pt>
                <c:pt idx="1232">
                  <c:v>46073</c:v>
                </c:pt>
                <c:pt idx="1233">
                  <c:v>46076</c:v>
                </c:pt>
                <c:pt idx="1234">
                  <c:v>46077</c:v>
                </c:pt>
                <c:pt idx="1235">
                  <c:v>46078</c:v>
                </c:pt>
                <c:pt idx="1236">
                  <c:v>46079</c:v>
                </c:pt>
                <c:pt idx="1237">
                  <c:v>46080</c:v>
                </c:pt>
                <c:pt idx="1238">
                  <c:v>46083</c:v>
                </c:pt>
                <c:pt idx="1239">
                  <c:v>46085</c:v>
                </c:pt>
              </c:numCache>
            </c:numRef>
          </c:cat>
          <c:val>
            <c:numRef>
              <c:f>'Raw Data'!$C$3:$C$1242</c:f>
              <c:numCache>
                <c:formatCode>General</c:formatCode>
                <c:ptCount val="1240"/>
                <c:pt idx="0">
                  <c:v>2.29</c:v>
                </c:pt>
                <c:pt idx="1">
                  <c:v>2.13</c:v>
                </c:pt>
                <c:pt idx="2">
                  <c:v>1.44</c:v>
                </c:pt>
                <c:pt idx="3">
                  <c:v>1.71</c:v>
                </c:pt>
                <c:pt idx="4">
                  <c:v>2.7</c:v>
                </c:pt>
                <c:pt idx="5">
                  <c:v>2.04</c:v>
                </c:pt>
                <c:pt idx="6">
                  <c:v>1.63</c:v>
                </c:pt>
                <c:pt idx="7">
                  <c:v>2.63</c:v>
                </c:pt>
                <c:pt idx="8">
                  <c:v>3.7</c:v>
                </c:pt>
                <c:pt idx="9">
                  <c:v>2.6</c:v>
                </c:pt>
                <c:pt idx="10">
                  <c:v>5.38</c:v>
                </c:pt>
                <c:pt idx="11">
                  <c:v>2.4700000000000002</c:v>
                </c:pt>
                <c:pt idx="12">
                  <c:v>1.97</c:v>
                </c:pt>
                <c:pt idx="13">
                  <c:v>1.76</c:v>
                </c:pt>
                <c:pt idx="14">
                  <c:v>2.5</c:v>
                </c:pt>
                <c:pt idx="15">
                  <c:v>1.93</c:v>
                </c:pt>
                <c:pt idx="16">
                  <c:v>3.33</c:v>
                </c:pt>
                <c:pt idx="17">
                  <c:v>2.71</c:v>
                </c:pt>
                <c:pt idx="18">
                  <c:v>1.53</c:v>
                </c:pt>
                <c:pt idx="19">
                  <c:v>2.5499999999999998</c:v>
                </c:pt>
                <c:pt idx="20">
                  <c:v>3.68</c:v>
                </c:pt>
                <c:pt idx="21">
                  <c:v>1.71</c:v>
                </c:pt>
                <c:pt idx="22">
                  <c:v>1.81</c:v>
                </c:pt>
                <c:pt idx="23">
                  <c:v>2.6</c:v>
                </c:pt>
                <c:pt idx="24">
                  <c:v>2.2599999999999998</c:v>
                </c:pt>
                <c:pt idx="25">
                  <c:v>1.81</c:v>
                </c:pt>
                <c:pt idx="26">
                  <c:v>3.35</c:v>
                </c:pt>
                <c:pt idx="27">
                  <c:v>1.23</c:v>
                </c:pt>
                <c:pt idx="28">
                  <c:v>1.75</c:v>
                </c:pt>
                <c:pt idx="29">
                  <c:v>1.59</c:v>
                </c:pt>
                <c:pt idx="30">
                  <c:v>1.72</c:v>
                </c:pt>
                <c:pt idx="31">
                  <c:v>1.95</c:v>
                </c:pt>
                <c:pt idx="32">
                  <c:v>1.95</c:v>
                </c:pt>
                <c:pt idx="33">
                  <c:v>1.67</c:v>
                </c:pt>
                <c:pt idx="34">
                  <c:v>1.95</c:v>
                </c:pt>
                <c:pt idx="35">
                  <c:v>3.15</c:v>
                </c:pt>
                <c:pt idx="36">
                  <c:v>4.01</c:v>
                </c:pt>
                <c:pt idx="37">
                  <c:v>1.69</c:v>
                </c:pt>
                <c:pt idx="38">
                  <c:v>1.45</c:v>
                </c:pt>
                <c:pt idx="39">
                  <c:v>1.26</c:v>
                </c:pt>
                <c:pt idx="40">
                  <c:v>1.38</c:v>
                </c:pt>
                <c:pt idx="41">
                  <c:v>1.17</c:v>
                </c:pt>
                <c:pt idx="42">
                  <c:v>0.98850000000000005</c:v>
                </c:pt>
                <c:pt idx="43">
                  <c:v>1.02</c:v>
                </c:pt>
                <c:pt idx="44">
                  <c:v>2.0499999999999998</c:v>
                </c:pt>
                <c:pt idx="45">
                  <c:v>1.39</c:v>
                </c:pt>
                <c:pt idx="46">
                  <c:v>0.81123999999999996</c:v>
                </c:pt>
                <c:pt idx="47">
                  <c:v>1.1499999999999999</c:v>
                </c:pt>
                <c:pt idx="48">
                  <c:v>1.32</c:v>
                </c:pt>
                <c:pt idx="49">
                  <c:v>0.85624</c:v>
                </c:pt>
                <c:pt idx="50">
                  <c:v>0.77149000000000001</c:v>
                </c:pt>
                <c:pt idx="51">
                  <c:v>1.19</c:v>
                </c:pt>
                <c:pt idx="52">
                  <c:v>1.1000000000000001</c:v>
                </c:pt>
                <c:pt idx="53">
                  <c:v>0.81110000000000004</c:v>
                </c:pt>
                <c:pt idx="54">
                  <c:v>3.76</c:v>
                </c:pt>
                <c:pt idx="55">
                  <c:v>1.22</c:v>
                </c:pt>
                <c:pt idx="56">
                  <c:v>1.18</c:v>
                </c:pt>
                <c:pt idx="57">
                  <c:v>1.1399999999999999</c:v>
                </c:pt>
                <c:pt idx="58">
                  <c:v>1.1100000000000001</c:v>
                </c:pt>
                <c:pt idx="59">
                  <c:v>0.86853000000000002</c:v>
                </c:pt>
                <c:pt idx="60">
                  <c:v>1.28</c:v>
                </c:pt>
                <c:pt idx="61">
                  <c:v>1.1299999999999999</c:v>
                </c:pt>
                <c:pt idx="62">
                  <c:v>1.1100000000000001</c:v>
                </c:pt>
                <c:pt idx="63">
                  <c:v>1.07</c:v>
                </c:pt>
                <c:pt idx="64">
                  <c:v>1.94</c:v>
                </c:pt>
                <c:pt idx="65">
                  <c:v>1.1299999999999999</c:v>
                </c:pt>
                <c:pt idx="66">
                  <c:v>1.76</c:v>
                </c:pt>
                <c:pt idx="67">
                  <c:v>1.22</c:v>
                </c:pt>
                <c:pt idx="68">
                  <c:v>2.15</c:v>
                </c:pt>
                <c:pt idx="69">
                  <c:v>1.56</c:v>
                </c:pt>
                <c:pt idx="70">
                  <c:v>3.94</c:v>
                </c:pt>
                <c:pt idx="71">
                  <c:v>2.5099999999999998</c:v>
                </c:pt>
                <c:pt idx="72">
                  <c:v>1.95</c:v>
                </c:pt>
                <c:pt idx="73">
                  <c:v>1.04</c:v>
                </c:pt>
                <c:pt idx="74">
                  <c:v>0.75968000000000002</c:v>
                </c:pt>
                <c:pt idx="75">
                  <c:v>1.1100000000000001</c:v>
                </c:pt>
                <c:pt idx="76">
                  <c:v>0.69491000000000003</c:v>
                </c:pt>
                <c:pt idx="77">
                  <c:v>1.35</c:v>
                </c:pt>
                <c:pt idx="78">
                  <c:v>1.45</c:v>
                </c:pt>
                <c:pt idx="79">
                  <c:v>0.73504000000000003</c:v>
                </c:pt>
                <c:pt idx="80">
                  <c:v>0.86023000000000005</c:v>
                </c:pt>
                <c:pt idx="81">
                  <c:v>0.76170000000000004</c:v>
                </c:pt>
                <c:pt idx="82">
                  <c:v>0.46178000000000002</c:v>
                </c:pt>
                <c:pt idx="83">
                  <c:v>0.62314999999999998</c:v>
                </c:pt>
                <c:pt idx="84">
                  <c:v>1.1100000000000001</c:v>
                </c:pt>
                <c:pt idx="85">
                  <c:v>0.53808999999999996</c:v>
                </c:pt>
                <c:pt idx="86">
                  <c:v>0.54390000000000005</c:v>
                </c:pt>
                <c:pt idx="87">
                  <c:v>0.99439999999999995</c:v>
                </c:pt>
                <c:pt idx="88">
                  <c:v>1.38</c:v>
                </c:pt>
                <c:pt idx="89">
                  <c:v>0.69379000000000002</c:v>
                </c:pt>
                <c:pt idx="90">
                  <c:v>0.54540999999999995</c:v>
                </c:pt>
                <c:pt idx="91">
                  <c:v>0.46387</c:v>
                </c:pt>
                <c:pt idx="92">
                  <c:v>1.06</c:v>
                </c:pt>
                <c:pt idx="93">
                  <c:v>3.55</c:v>
                </c:pt>
                <c:pt idx="94">
                  <c:v>1.52</c:v>
                </c:pt>
                <c:pt idx="95">
                  <c:v>1.31</c:v>
                </c:pt>
                <c:pt idx="96">
                  <c:v>1.66</c:v>
                </c:pt>
                <c:pt idx="97">
                  <c:v>0.91237000000000001</c:v>
                </c:pt>
                <c:pt idx="98">
                  <c:v>1.01</c:v>
                </c:pt>
                <c:pt idx="99">
                  <c:v>1.71</c:v>
                </c:pt>
                <c:pt idx="100">
                  <c:v>1.23</c:v>
                </c:pt>
                <c:pt idx="101">
                  <c:v>1.73</c:v>
                </c:pt>
                <c:pt idx="102">
                  <c:v>1.59</c:v>
                </c:pt>
                <c:pt idx="103">
                  <c:v>0.92176000000000002</c:v>
                </c:pt>
                <c:pt idx="104">
                  <c:v>1.43</c:v>
                </c:pt>
                <c:pt idx="105">
                  <c:v>0.92147999999999997</c:v>
                </c:pt>
                <c:pt idx="106">
                  <c:v>1.06</c:v>
                </c:pt>
                <c:pt idx="107">
                  <c:v>1.3</c:v>
                </c:pt>
                <c:pt idx="108">
                  <c:v>1.23</c:v>
                </c:pt>
                <c:pt idx="109">
                  <c:v>1.03</c:v>
                </c:pt>
                <c:pt idx="110">
                  <c:v>1.1499999999999999</c:v>
                </c:pt>
                <c:pt idx="111">
                  <c:v>1.92</c:v>
                </c:pt>
                <c:pt idx="112">
                  <c:v>1.55</c:v>
                </c:pt>
                <c:pt idx="113">
                  <c:v>5.78</c:v>
                </c:pt>
                <c:pt idx="114">
                  <c:v>2.16</c:v>
                </c:pt>
                <c:pt idx="115">
                  <c:v>1.48</c:v>
                </c:pt>
                <c:pt idx="116">
                  <c:v>1.75</c:v>
                </c:pt>
                <c:pt idx="117">
                  <c:v>2.12</c:v>
                </c:pt>
                <c:pt idx="118">
                  <c:v>1.18</c:v>
                </c:pt>
                <c:pt idx="119">
                  <c:v>1.17</c:v>
                </c:pt>
                <c:pt idx="120">
                  <c:v>2.54</c:v>
                </c:pt>
                <c:pt idx="121">
                  <c:v>1.78</c:v>
                </c:pt>
                <c:pt idx="122">
                  <c:v>1.95</c:v>
                </c:pt>
                <c:pt idx="123">
                  <c:v>1.56</c:v>
                </c:pt>
                <c:pt idx="124">
                  <c:v>1.44</c:v>
                </c:pt>
                <c:pt idx="125">
                  <c:v>1.22</c:v>
                </c:pt>
                <c:pt idx="126">
                  <c:v>0.94671000000000005</c:v>
                </c:pt>
                <c:pt idx="127">
                  <c:v>0.87944999999999995</c:v>
                </c:pt>
                <c:pt idx="128">
                  <c:v>1.34</c:v>
                </c:pt>
                <c:pt idx="129">
                  <c:v>1.76</c:v>
                </c:pt>
                <c:pt idx="130">
                  <c:v>1.36</c:v>
                </c:pt>
                <c:pt idx="131">
                  <c:v>1.26</c:v>
                </c:pt>
                <c:pt idx="132">
                  <c:v>3.1</c:v>
                </c:pt>
                <c:pt idx="133">
                  <c:v>2.67</c:v>
                </c:pt>
                <c:pt idx="134">
                  <c:v>2.2799999999999998</c:v>
                </c:pt>
                <c:pt idx="135">
                  <c:v>1.58</c:v>
                </c:pt>
                <c:pt idx="136">
                  <c:v>1.05</c:v>
                </c:pt>
                <c:pt idx="137">
                  <c:v>1.64</c:v>
                </c:pt>
                <c:pt idx="138">
                  <c:v>1.47</c:v>
                </c:pt>
                <c:pt idx="139">
                  <c:v>1.08</c:v>
                </c:pt>
                <c:pt idx="140">
                  <c:v>1.5</c:v>
                </c:pt>
                <c:pt idx="141">
                  <c:v>1.62</c:v>
                </c:pt>
                <c:pt idx="142">
                  <c:v>0.95611000000000002</c:v>
                </c:pt>
                <c:pt idx="143">
                  <c:v>1.03</c:v>
                </c:pt>
                <c:pt idx="144">
                  <c:v>0.56277999999999995</c:v>
                </c:pt>
                <c:pt idx="145">
                  <c:v>0.86246999999999996</c:v>
                </c:pt>
                <c:pt idx="146">
                  <c:v>1.08</c:v>
                </c:pt>
                <c:pt idx="147">
                  <c:v>1.58</c:v>
                </c:pt>
                <c:pt idx="148">
                  <c:v>1.0900000000000001</c:v>
                </c:pt>
                <c:pt idx="149">
                  <c:v>1.17</c:v>
                </c:pt>
                <c:pt idx="150">
                  <c:v>1.66</c:v>
                </c:pt>
                <c:pt idx="151">
                  <c:v>2.16</c:v>
                </c:pt>
                <c:pt idx="152">
                  <c:v>1.76</c:v>
                </c:pt>
                <c:pt idx="153">
                  <c:v>5.43</c:v>
                </c:pt>
                <c:pt idx="154">
                  <c:v>4.8600000000000003</c:v>
                </c:pt>
                <c:pt idx="155">
                  <c:v>3.25</c:v>
                </c:pt>
                <c:pt idx="156">
                  <c:v>1.85</c:v>
                </c:pt>
                <c:pt idx="157">
                  <c:v>1.56</c:v>
                </c:pt>
                <c:pt idx="158">
                  <c:v>1.6</c:v>
                </c:pt>
                <c:pt idx="159">
                  <c:v>3.08</c:v>
                </c:pt>
                <c:pt idx="160">
                  <c:v>2.02</c:v>
                </c:pt>
                <c:pt idx="161">
                  <c:v>2.4500000000000002</c:v>
                </c:pt>
                <c:pt idx="162">
                  <c:v>1.94</c:v>
                </c:pt>
                <c:pt idx="163">
                  <c:v>1.35</c:v>
                </c:pt>
                <c:pt idx="164">
                  <c:v>1.59</c:v>
                </c:pt>
                <c:pt idx="165">
                  <c:v>0.24571999999999999</c:v>
                </c:pt>
                <c:pt idx="166">
                  <c:v>2.56</c:v>
                </c:pt>
                <c:pt idx="167">
                  <c:v>1.7</c:v>
                </c:pt>
                <c:pt idx="168">
                  <c:v>1.79</c:v>
                </c:pt>
                <c:pt idx="169">
                  <c:v>1.28</c:v>
                </c:pt>
                <c:pt idx="170">
                  <c:v>1.65</c:v>
                </c:pt>
                <c:pt idx="171">
                  <c:v>1.01</c:v>
                </c:pt>
                <c:pt idx="172">
                  <c:v>1.25</c:v>
                </c:pt>
                <c:pt idx="173">
                  <c:v>0.95681000000000005</c:v>
                </c:pt>
                <c:pt idx="174">
                  <c:v>1.24</c:v>
                </c:pt>
                <c:pt idx="175">
                  <c:v>1.63</c:v>
                </c:pt>
                <c:pt idx="176">
                  <c:v>1.93</c:v>
                </c:pt>
                <c:pt idx="177">
                  <c:v>0.99907000000000001</c:v>
                </c:pt>
                <c:pt idx="178">
                  <c:v>1.36</c:v>
                </c:pt>
                <c:pt idx="179">
                  <c:v>2.4500000000000002</c:v>
                </c:pt>
                <c:pt idx="180">
                  <c:v>1.72</c:v>
                </c:pt>
                <c:pt idx="181">
                  <c:v>3.93</c:v>
                </c:pt>
                <c:pt idx="182">
                  <c:v>1.26</c:v>
                </c:pt>
                <c:pt idx="183">
                  <c:v>1.67</c:v>
                </c:pt>
                <c:pt idx="184">
                  <c:v>1.89</c:v>
                </c:pt>
                <c:pt idx="185">
                  <c:v>1.08</c:v>
                </c:pt>
                <c:pt idx="186">
                  <c:v>0.89531000000000005</c:v>
                </c:pt>
                <c:pt idx="187">
                  <c:v>0.83977000000000002</c:v>
                </c:pt>
                <c:pt idx="188">
                  <c:v>0.71667000000000003</c:v>
                </c:pt>
                <c:pt idx="189">
                  <c:v>0.72453999999999996</c:v>
                </c:pt>
                <c:pt idx="190">
                  <c:v>1.8</c:v>
                </c:pt>
                <c:pt idx="191">
                  <c:v>1.22</c:v>
                </c:pt>
                <c:pt idx="192">
                  <c:v>0.75512000000000001</c:v>
                </c:pt>
                <c:pt idx="193">
                  <c:v>0.92649000000000004</c:v>
                </c:pt>
                <c:pt idx="194">
                  <c:v>2.44</c:v>
                </c:pt>
                <c:pt idx="195">
                  <c:v>2.1800000000000002</c:v>
                </c:pt>
                <c:pt idx="196">
                  <c:v>1.59</c:v>
                </c:pt>
                <c:pt idx="197">
                  <c:v>1.66</c:v>
                </c:pt>
                <c:pt idx="198">
                  <c:v>1.42</c:v>
                </c:pt>
                <c:pt idx="199">
                  <c:v>0.89549999999999996</c:v>
                </c:pt>
                <c:pt idx="200">
                  <c:v>0.58430000000000004</c:v>
                </c:pt>
                <c:pt idx="201">
                  <c:v>0.78371000000000002</c:v>
                </c:pt>
                <c:pt idx="202">
                  <c:v>1.41</c:v>
                </c:pt>
                <c:pt idx="203">
                  <c:v>0.96370999999999996</c:v>
                </c:pt>
                <c:pt idx="204">
                  <c:v>1.1200000000000001</c:v>
                </c:pt>
                <c:pt idx="205">
                  <c:v>0.87927999999999995</c:v>
                </c:pt>
                <c:pt idx="206">
                  <c:v>1.48</c:v>
                </c:pt>
                <c:pt idx="207">
                  <c:v>1.2</c:v>
                </c:pt>
                <c:pt idx="208">
                  <c:v>1.2</c:v>
                </c:pt>
                <c:pt idx="209">
                  <c:v>1.03</c:v>
                </c:pt>
                <c:pt idx="210">
                  <c:v>0.91944999999999999</c:v>
                </c:pt>
                <c:pt idx="211">
                  <c:v>1.32</c:v>
                </c:pt>
                <c:pt idx="212">
                  <c:v>1.49</c:v>
                </c:pt>
                <c:pt idx="213">
                  <c:v>1.59</c:v>
                </c:pt>
                <c:pt idx="214">
                  <c:v>1.6</c:v>
                </c:pt>
                <c:pt idx="215">
                  <c:v>0.91220999999999997</c:v>
                </c:pt>
                <c:pt idx="216">
                  <c:v>1.67</c:v>
                </c:pt>
                <c:pt idx="217">
                  <c:v>2.15</c:v>
                </c:pt>
                <c:pt idx="218">
                  <c:v>2.83</c:v>
                </c:pt>
                <c:pt idx="219">
                  <c:v>4.5999999999999996</c:v>
                </c:pt>
                <c:pt idx="220">
                  <c:v>2.23</c:v>
                </c:pt>
                <c:pt idx="221">
                  <c:v>1.84</c:v>
                </c:pt>
                <c:pt idx="222">
                  <c:v>2.62</c:v>
                </c:pt>
                <c:pt idx="223">
                  <c:v>1.97</c:v>
                </c:pt>
                <c:pt idx="224">
                  <c:v>1.64</c:v>
                </c:pt>
                <c:pt idx="225">
                  <c:v>1.27</c:v>
                </c:pt>
                <c:pt idx="226">
                  <c:v>1.25</c:v>
                </c:pt>
                <c:pt idx="227">
                  <c:v>1.45</c:v>
                </c:pt>
                <c:pt idx="228">
                  <c:v>1.01</c:v>
                </c:pt>
                <c:pt idx="229">
                  <c:v>1.21</c:v>
                </c:pt>
                <c:pt idx="230">
                  <c:v>1.19</c:v>
                </c:pt>
                <c:pt idx="231">
                  <c:v>1.05</c:v>
                </c:pt>
                <c:pt idx="232">
                  <c:v>1.2</c:v>
                </c:pt>
                <c:pt idx="233">
                  <c:v>2.1</c:v>
                </c:pt>
                <c:pt idx="234">
                  <c:v>1.66</c:v>
                </c:pt>
                <c:pt idx="235">
                  <c:v>1.53</c:v>
                </c:pt>
                <c:pt idx="236">
                  <c:v>0.99567000000000005</c:v>
                </c:pt>
                <c:pt idx="237">
                  <c:v>0.86936999999999998</c:v>
                </c:pt>
                <c:pt idx="238">
                  <c:v>0.89071</c:v>
                </c:pt>
                <c:pt idx="239">
                  <c:v>0.73792000000000002</c:v>
                </c:pt>
                <c:pt idx="240">
                  <c:v>0.90266999999999997</c:v>
                </c:pt>
                <c:pt idx="241">
                  <c:v>1.32</c:v>
                </c:pt>
                <c:pt idx="242">
                  <c:v>3</c:v>
                </c:pt>
                <c:pt idx="243">
                  <c:v>2.19</c:v>
                </c:pt>
                <c:pt idx="244">
                  <c:v>2.33</c:v>
                </c:pt>
                <c:pt idx="245">
                  <c:v>2.0299999999999998</c:v>
                </c:pt>
                <c:pt idx="246">
                  <c:v>2.37</c:v>
                </c:pt>
                <c:pt idx="247">
                  <c:v>6.32</c:v>
                </c:pt>
                <c:pt idx="248">
                  <c:v>2.98</c:v>
                </c:pt>
                <c:pt idx="249">
                  <c:v>3.21</c:v>
                </c:pt>
                <c:pt idx="250">
                  <c:v>2.88</c:v>
                </c:pt>
                <c:pt idx="251">
                  <c:v>4.88</c:v>
                </c:pt>
                <c:pt idx="252">
                  <c:v>2.48</c:v>
                </c:pt>
                <c:pt idx="253">
                  <c:v>1.73</c:v>
                </c:pt>
                <c:pt idx="254">
                  <c:v>2.39</c:v>
                </c:pt>
                <c:pt idx="255">
                  <c:v>2.81</c:v>
                </c:pt>
                <c:pt idx="256">
                  <c:v>3</c:v>
                </c:pt>
                <c:pt idx="257">
                  <c:v>1.67</c:v>
                </c:pt>
                <c:pt idx="258">
                  <c:v>5.36</c:v>
                </c:pt>
                <c:pt idx="259">
                  <c:v>3.21</c:v>
                </c:pt>
                <c:pt idx="260">
                  <c:v>3.05</c:v>
                </c:pt>
                <c:pt idx="261">
                  <c:v>2.23</c:v>
                </c:pt>
                <c:pt idx="262">
                  <c:v>1.79</c:v>
                </c:pt>
                <c:pt idx="263">
                  <c:v>1.25</c:v>
                </c:pt>
                <c:pt idx="264">
                  <c:v>1.48</c:v>
                </c:pt>
                <c:pt idx="265">
                  <c:v>2.54</c:v>
                </c:pt>
                <c:pt idx="266">
                  <c:v>1.71</c:v>
                </c:pt>
                <c:pt idx="267">
                  <c:v>1.69</c:v>
                </c:pt>
                <c:pt idx="268">
                  <c:v>1.28</c:v>
                </c:pt>
                <c:pt idx="269">
                  <c:v>1.74</c:v>
                </c:pt>
                <c:pt idx="270">
                  <c:v>1.82</c:v>
                </c:pt>
                <c:pt idx="271">
                  <c:v>1.69</c:v>
                </c:pt>
                <c:pt idx="272">
                  <c:v>1.38</c:v>
                </c:pt>
                <c:pt idx="273">
                  <c:v>1.37</c:v>
                </c:pt>
                <c:pt idx="274">
                  <c:v>1.07</c:v>
                </c:pt>
                <c:pt idx="275">
                  <c:v>1.83</c:v>
                </c:pt>
                <c:pt idx="276">
                  <c:v>1.78</c:v>
                </c:pt>
                <c:pt idx="277">
                  <c:v>1.51</c:v>
                </c:pt>
                <c:pt idx="278">
                  <c:v>2.2400000000000002</c:v>
                </c:pt>
                <c:pt idx="279">
                  <c:v>3.52</c:v>
                </c:pt>
                <c:pt idx="280">
                  <c:v>2.44</c:v>
                </c:pt>
                <c:pt idx="281">
                  <c:v>1.45</c:v>
                </c:pt>
                <c:pt idx="282">
                  <c:v>2.21</c:v>
                </c:pt>
                <c:pt idx="283">
                  <c:v>5.87</c:v>
                </c:pt>
                <c:pt idx="284">
                  <c:v>2.68</c:v>
                </c:pt>
                <c:pt idx="285">
                  <c:v>1.54</c:v>
                </c:pt>
                <c:pt idx="286">
                  <c:v>1.61</c:v>
                </c:pt>
                <c:pt idx="287">
                  <c:v>1.1000000000000001</c:v>
                </c:pt>
                <c:pt idx="288">
                  <c:v>1.59</c:v>
                </c:pt>
                <c:pt idx="289">
                  <c:v>1.34</c:v>
                </c:pt>
                <c:pt idx="290">
                  <c:v>2.16</c:v>
                </c:pt>
                <c:pt idx="291">
                  <c:v>1.86</c:v>
                </c:pt>
                <c:pt idx="292">
                  <c:v>1.53</c:v>
                </c:pt>
                <c:pt idx="293">
                  <c:v>2.06</c:v>
                </c:pt>
                <c:pt idx="294">
                  <c:v>1.4</c:v>
                </c:pt>
                <c:pt idx="295">
                  <c:v>2.06</c:v>
                </c:pt>
                <c:pt idx="296">
                  <c:v>2.14</c:v>
                </c:pt>
                <c:pt idx="297">
                  <c:v>1.73</c:v>
                </c:pt>
                <c:pt idx="298">
                  <c:v>2.6</c:v>
                </c:pt>
                <c:pt idx="299">
                  <c:v>2.36</c:v>
                </c:pt>
                <c:pt idx="300">
                  <c:v>3.08</c:v>
                </c:pt>
                <c:pt idx="301">
                  <c:v>1.88</c:v>
                </c:pt>
                <c:pt idx="302">
                  <c:v>2.2999999999999998</c:v>
                </c:pt>
                <c:pt idx="303">
                  <c:v>1.01</c:v>
                </c:pt>
                <c:pt idx="304">
                  <c:v>0.93955999999999995</c:v>
                </c:pt>
                <c:pt idx="305">
                  <c:v>3.12</c:v>
                </c:pt>
                <c:pt idx="306">
                  <c:v>2.2000000000000002</c:v>
                </c:pt>
                <c:pt idx="307">
                  <c:v>1.46</c:v>
                </c:pt>
                <c:pt idx="308">
                  <c:v>1.85</c:v>
                </c:pt>
                <c:pt idx="309">
                  <c:v>2.13</c:v>
                </c:pt>
                <c:pt idx="310">
                  <c:v>2.0299999999999998</c:v>
                </c:pt>
                <c:pt idx="311">
                  <c:v>1.51</c:v>
                </c:pt>
                <c:pt idx="312">
                  <c:v>1.5</c:v>
                </c:pt>
                <c:pt idx="313">
                  <c:v>1.64</c:v>
                </c:pt>
                <c:pt idx="314">
                  <c:v>1.52</c:v>
                </c:pt>
                <c:pt idx="315">
                  <c:v>1.59</c:v>
                </c:pt>
                <c:pt idx="316">
                  <c:v>1.43</c:v>
                </c:pt>
                <c:pt idx="317">
                  <c:v>1.35</c:v>
                </c:pt>
                <c:pt idx="318">
                  <c:v>3.25</c:v>
                </c:pt>
                <c:pt idx="319">
                  <c:v>2.02</c:v>
                </c:pt>
                <c:pt idx="320">
                  <c:v>1.61</c:v>
                </c:pt>
                <c:pt idx="321">
                  <c:v>1.74</c:v>
                </c:pt>
                <c:pt idx="322">
                  <c:v>1.59</c:v>
                </c:pt>
                <c:pt idx="323">
                  <c:v>1.93</c:v>
                </c:pt>
                <c:pt idx="324">
                  <c:v>1.45</c:v>
                </c:pt>
                <c:pt idx="325">
                  <c:v>1.4</c:v>
                </c:pt>
                <c:pt idx="326">
                  <c:v>1.68</c:v>
                </c:pt>
                <c:pt idx="327">
                  <c:v>2.39</c:v>
                </c:pt>
                <c:pt idx="328">
                  <c:v>1.24</c:v>
                </c:pt>
                <c:pt idx="329">
                  <c:v>2.41</c:v>
                </c:pt>
                <c:pt idx="330">
                  <c:v>2.46</c:v>
                </c:pt>
                <c:pt idx="331">
                  <c:v>4.7699999999999996</c:v>
                </c:pt>
                <c:pt idx="332">
                  <c:v>3.33</c:v>
                </c:pt>
                <c:pt idx="333">
                  <c:v>1.35</c:v>
                </c:pt>
                <c:pt idx="334">
                  <c:v>1.59</c:v>
                </c:pt>
                <c:pt idx="335">
                  <c:v>1.1200000000000001</c:v>
                </c:pt>
                <c:pt idx="336">
                  <c:v>2.5299999999999998</c:v>
                </c:pt>
                <c:pt idx="337">
                  <c:v>1.66</c:v>
                </c:pt>
                <c:pt idx="338">
                  <c:v>3</c:v>
                </c:pt>
                <c:pt idx="339">
                  <c:v>1.57</c:v>
                </c:pt>
                <c:pt idx="340">
                  <c:v>1.47</c:v>
                </c:pt>
                <c:pt idx="341">
                  <c:v>4.01</c:v>
                </c:pt>
                <c:pt idx="342">
                  <c:v>1.99</c:v>
                </c:pt>
                <c:pt idx="343">
                  <c:v>1.91</c:v>
                </c:pt>
                <c:pt idx="344">
                  <c:v>1.25</c:v>
                </c:pt>
                <c:pt idx="345">
                  <c:v>1.69</c:v>
                </c:pt>
                <c:pt idx="346">
                  <c:v>1.4</c:v>
                </c:pt>
                <c:pt idx="347">
                  <c:v>1.44</c:v>
                </c:pt>
                <c:pt idx="348">
                  <c:v>1.46</c:v>
                </c:pt>
                <c:pt idx="349">
                  <c:v>1.56</c:v>
                </c:pt>
                <c:pt idx="350">
                  <c:v>1.36</c:v>
                </c:pt>
                <c:pt idx="351">
                  <c:v>1.77</c:v>
                </c:pt>
                <c:pt idx="352">
                  <c:v>1.19</c:v>
                </c:pt>
                <c:pt idx="353">
                  <c:v>1.18</c:v>
                </c:pt>
                <c:pt idx="354">
                  <c:v>1.02</c:v>
                </c:pt>
                <c:pt idx="355">
                  <c:v>1.1000000000000001</c:v>
                </c:pt>
                <c:pt idx="356">
                  <c:v>0.81067</c:v>
                </c:pt>
                <c:pt idx="357">
                  <c:v>1.47</c:v>
                </c:pt>
                <c:pt idx="358">
                  <c:v>1.58</c:v>
                </c:pt>
                <c:pt idx="359">
                  <c:v>1.71</c:v>
                </c:pt>
                <c:pt idx="360">
                  <c:v>1.47</c:v>
                </c:pt>
                <c:pt idx="361">
                  <c:v>1.32</c:v>
                </c:pt>
                <c:pt idx="362">
                  <c:v>1.41</c:v>
                </c:pt>
                <c:pt idx="363">
                  <c:v>1.31</c:v>
                </c:pt>
                <c:pt idx="364">
                  <c:v>1.24</c:v>
                </c:pt>
                <c:pt idx="365">
                  <c:v>1.1100000000000001</c:v>
                </c:pt>
                <c:pt idx="366">
                  <c:v>1.05</c:v>
                </c:pt>
                <c:pt idx="367">
                  <c:v>1.45</c:v>
                </c:pt>
                <c:pt idx="368">
                  <c:v>2.23</c:v>
                </c:pt>
                <c:pt idx="369">
                  <c:v>1.7</c:v>
                </c:pt>
                <c:pt idx="370">
                  <c:v>0.93759999999999999</c:v>
                </c:pt>
                <c:pt idx="371">
                  <c:v>1.27</c:v>
                </c:pt>
                <c:pt idx="372">
                  <c:v>1.25</c:v>
                </c:pt>
                <c:pt idx="373">
                  <c:v>1.34</c:v>
                </c:pt>
                <c:pt idx="374">
                  <c:v>1</c:v>
                </c:pt>
                <c:pt idx="375">
                  <c:v>1.79</c:v>
                </c:pt>
                <c:pt idx="376">
                  <c:v>1.6</c:v>
                </c:pt>
                <c:pt idx="377">
                  <c:v>1.34</c:v>
                </c:pt>
                <c:pt idx="378">
                  <c:v>1.61</c:v>
                </c:pt>
                <c:pt idx="379">
                  <c:v>1.2</c:v>
                </c:pt>
                <c:pt idx="380">
                  <c:v>2.52</c:v>
                </c:pt>
                <c:pt idx="381">
                  <c:v>1.17</c:v>
                </c:pt>
                <c:pt idx="382">
                  <c:v>1.25</c:v>
                </c:pt>
                <c:pt idx="383">
                  <c:v>1.96</c:v>
                </c:pt>
                <c:pt idx="384">
                  <c:v>2.62</c:v>
                </c:pt>
                <c:pt idx="385">
                  <c:v>1.79</c:v>
                </c:pt>
                <c:pt idx="386">
                  <c:v>2.68</c:v>
                </c:pt>
                <c:pt idx="387">
                  <c:v>1.9</c:v>
                </c:pt>
                <c:pt idx="388">
                  <c:v>1.53</c:v>
                </c:pt>
                <c:pt idx="389">
                  <c:v>2.02</c:v>
                </c:pt>
                <c:pt idx="390">
                  <c:v>1.34</c:v>
                </c:pt>
                <c:pt idx="391">
                  <c:v>1.68</c:v>
                </c:pt>
                <c:pt idx="392">
                  <c:v>1.33</c:v>
                </c:pt>
                <c:pt idx="393">
                  <c:v>1.75</c:v>
                </c:pt>
                <c:pt idx="394">
                  <c:v>1.03</c:v>
                </c:pt>
                <c:pt idx="395">
                  <c:v>1.04</c:v>
                </c:pt>
                <c:pt idx="396">
                  <c:v>1.1299999999999999</c:v>
                </c:pt>
                <c:pt idx="397">
                  <c:v>0.88287000000000004</c:v>
                </c:pt>
                <c:pt idx="398">
                  <c:v>0.75333000000000006</c:v>
                </c:pt>
                <c:pt idx="399">
                  <c:v>1</c:v>
                </c:pt>
                <c:pt idx="400">
                  <c:v>0.77891999999999995</c:v>
                </c:pt>
                <c:pt idx="401">
                  <c:v>1.1200000000000001</c:v>
                </c:pt>
                <c:pt idx="402">
                  <c:v>1.24</c:v>
                </c:pt>
                <c:pt idx="403">
                  <c:v>1.43</c:v>
                </c:pt>
                <c:pt idx="404">
                  <c:v>2.46</c:v>
                </c:pt>
                <c:pt idx="405">
                  <c:v>0.71991000000000005</c:v>
                </c:pt>
                <c:pt idx="406">
                  <c:v>2.92</c:v>
                </c:pt>
                <c:pt idx="407">
                  <c:v>1.85</c:v>
                </c:pt>
                <c:pt idx="408">
                  <c:v>1.1599999999999999</c:v>
                </c:pt>
                <c:pt idx="409">
                  <c:v>1.32</c:v>
                </c:pt>
                <c:pt idx="410">
                  <c:v>1.28</c:v>
                </c:pt>
                <c:pt idx="411">
                  <c:v>1.34</c:v>
                </c:pt>
                <c:pt idx="412">
                  <c:v>0.73043999999999998</c:v>
                </c:pt>
                <c:pt idx="413">
                  <c:v>0.88905999999999996</c:v>
                </c:pt>
                <c:pt idx="414">
                  <c:v>1.28</c:v>
                </c:pt>
                <c:pt idx="415">
                  <c:v>1.44</c:v>
                </c:pt>
                <c:pt idx="416">
                  <c:v>1.46</c:v>
                </c:pt>
                <c:pt idx="417">
                  <c:v>1.1599999999999999</c:v>
                </c:pt>
                <c:pt idx="418">
                  <c:v>2.14</c:v>
                </c:pt>
                <c:pt idx="419">
                  <c:v>1.56</c:v>
                </c:pt>
                <c:pt idx="420">
                  <c:v>1.33</c:v>
                </c:pt>
                <c:pt idx="421">
                  <c:v>0.96048</c:v>
                </c:pt>
                <c:pt idx="422">
                  <c:v>1.08</c:v>
                </c:pt>
                <c:pt idx="423">
                  <c:v>1.35</c:v>
                </c:pt>
                <c:pt idx="424">
                  <c:v>0.92127000000000003</c:v>
                </c:pt>
                <c:pt idx="425">
                  <c:v>0.73414999999999997</c:v>
                </c:pt>
                <c:pt idx="426">
                  <c:v>0.99992999999999999</c:v>
                </c:pt>
                <c:pt idx="427">
                  <c:v>0.78347999999999995</c:v>
                </c:pt>
                <c:pt idx="428">
                  <c:v>0.83091000000000004</c:v>
                </c:pt>
                <c:pt idx="429">
                  <c:v>2.54</c:v>
                </c:pt>
                <c:pt idx="430">
                  <c:v>3.7</c:v>
                </c:pt>
                <c:pt idx="431">
                  <c:v>1.68</c:v>
                </c:pt>
                <c:pt idx="432">
                  <c:v>2.1</c:v>
                </c:pt>
                <c:pt idx="433">
                  <c:v>1.64</c:v>
                </c:pt>
                <c:pt idx="434">
                  <c:v>1.48</c:v>
                </c:pt>
                <c:pt idx="435">
                  <c:v>2.37</c:v>
                </c:pt>
                <c:pt idx="436">
                  <c:v>1.31</c:v>
                </c:pt>
                <c:pt idx="437">
                  <c:v>1.88</c:v>
                </c:pt>
                <c:pt idx="438">
                  <c:v>1.1599999999999999</c:v>
                </c:pt>
                <c:pt idx="439">
                  <c:v>1.27</c:v>
                </c:pt>
                <c:pt idx="440">
                  <c:v>0.88685999999999998</c:v>
                </c:pt>
                <c:pt idx="441">
                  <c:v>0.99072000000000005</c:v>
                </c:pt>
                <c:pt idx="442">
                  <c:v>1.79</c:v>
                </c:pt>
                <c:pt idx="443">
                  <c:v>1.55</c:v>
                </c:pt>
                <c:pt idx="444">
                  <c:v>0.82757000000000003</c:v>
                </c:pt>
                <c:pt idx="445">
                  <c:v>0.77908999999999995</c:v>
                </c:pt>
                <c:pt idx="446">
                  <c:v>0.85257000000000005</c:v>
                </c:pt>
                <c:pt idx="447">
                  <c:v>1.19</c:v>
                </c:pt>
                <c:pt idx="448">
                  <c:v>0.60514000000000001</c:v>
                </c:pt>
                <c:pt idx="449">
                  <c:v>0.87095999999999996</c:v>
                </c:pt>
                <c:pt idx="450">
                  <c:v>0.82264999999999999</c:v>
                </c:pt>
                <c:pt idx="451">
                  <c:v>1.35</c:v>
                </c:pt>
                <c:pt idx="452">
                  <c:v>0.69642999999999999</c:v>
                </c:pt>
                <c:pt idx="453">
                  <c:v>0.68169999999999997</c:v>
                </c:pt>
                <c:pt idx="454">
                  <c:v>0.82184000000000001</c:v>
                </c:pt>
                <c:pt idx="455">
                  <c:v>1.67</c:v>
                </c:pt>
                <c:pt idx="456">
                  <c:v>2.0099999999999998</c:v>
                </c:pt>
                <c:pt idx="457">
                  <c:v>0.99177999999999999</c:v>
                </c:pt>
                <c:pt idx="458">
                  <c:v>1.27</c:v>
                </c:pt>
                <c:pt idx="459">
                  <c:v>1.41</c:v>
                </c:pt>
                <c:pt idx="460">
                  <c:v>1.47</c:v>
                </c:pt>
                <c:pt idx="461">
                  <c:v>1.7</c:v>
                </c:pt>
                <c:pt idx="462">
                  <c:v>1.35</c:v>
                </c:pt>
                <c:pt idx="463">
                  <c:v>0.93006999999999995</c:v>
                </c:pt>
                <c:pt idx="464">
                  <c:v>1.89</c:v>
                </c:pt>
                <c:pt idx="465">
                  <c:v>2.04</c:v>
                </c:pt>
                <c:pt idx="466">
                  <c:v>1.65</c:v>
                </c:pt>
                <c:pt idx="467">
                  <c:v>4.57</c:v>
                </c:pt>
                <c:pt idx="468">
                  <c:v>1.39</c:v>
                </c:pt>
                <c:pt idx="469">
                  <c:v>1.46</c:v>
                </c:pt>
                <c:pt idx="470">
                  <c:v>1.59</c:v>
                </c:pt>
                <c:pt idx="471">
                  <c:v>1.58</c:v>
                </c:pt>
                <c:pt idx="472">
                  <c:v>2.74</c:v>
                </c:pt>
                <c:pt idx="473">
                  <c:v>2.37</c:v>
                </c:pt>
                <c:pt idx="474">
                  <c:v>2.0099999999999998</c:v>
                </c:pt>
                <c:pt idx="475">
                  <c:v>1.98</c:v>
                </c:pt>
                <c:pt idx="476">
                  <c:v>1.64</c:v>
                </c:pt>
                <c:pt idx="477">
                  <c:v>1.7</c:v>
                </c:pt>
                <c:pt idx="478">
                  <c:v>1.5</c:v>
                </c:pt>
                <c:pt idx="479">
                  <c:v>1.06</c:v>
                </c:pt>
                <c:pt idx="480">
                  <c:v>1.1000000000000001</c:v>
                </c:pt>
                <c:pt idx="481">
                  <c:v>1.52</c:v>
                </c:pt>
                <c:pt idx="482">
                  <c:v>1.1499999999999999</c:v>
                </c:pt>
                <c:pt idx="483">
                  <c:v>1.94</c:v>
                </c:pt>
                <c:pt idx="484">
                  <c:v>2.0099999999999998</c:v>
                </c:pt>
                <c:pt idx="485">
                  <c:v>1.98</c:v>
                </c:pt>
                <c:pt idx="486">
                  <c:v>1.4</c:v>
                </c:pt>
                <c:pt idx="487">
                  <c:v>0.63209000000000004</c:v>
                </c:pt>
                <c:pt idx="488">
                  <c:v>0.86280000000000001</c:v>
                </c:pt>
                <c:pt idx="489">
                  <c:v>0.88551999999999997</c:v>
                </c:pt>
                <c:pt idx="490">
                  <c:v>0.75722</c:v>
                </c:pt>
                <c:pt idx="491">
                  <c:v>0.73277999999999999</c:v>
                </c:pt>
                <c:pt idx="492">
                  <c:v>0.85399000000000003</c:v>
                </c:pt>
                <c:pt idx="493">
                  <c:v>1.78</c:v>
                </c:pt>
                <c:pt idx="494">
                  <c:v>0.96733999999999998</c:v>
                </c:pt>
                <c:pt idx="495">
                  <c:v>0.82716999999999996</c:v>
                </c:pt>
                <c:pt idx="496">
                  <c:v>1.18</c:v>
                </c:pt>
                <c:pt idx="497">
                  <c:v>1.21</c:v>
                </c:pt>
                <c:pt idx="498">
                  <c:v>1.45</c:v>
                </c:pt>
                <c:pt idx="499">
                  <c:v>1.04</c:v>
                </c:pt>
                <c:pt idx="500">
                  <c:v>0.77202000000000004</c:v>
                </c:pt>
                <c:pt idx="501">
                  <c:v>1.31</c:v>
                </c:pt>
                <c:pt idx="502">
                  <c:v>1.25</c:v>
                </c:pt>
                <c:pt idx="503">
                  <c:v>1.74</c:v>
                </c:pt>
                <c:pt idx="504">
                  <c:v>1.63</c:v>
                </c:pt>
                <c:pt idx="505">
                  <c:v>2.13</c:v>
                </c:pt>
                <c:pt idx="506">
                  <c:v>1.56</c:v>
                </c:pt>
                <c:pt idx="507">
                  <c:v>1.6</c:v>
                </c:pt>
                <c:pt idx="508">
                  <c:v>1.06</c:v>
                </c:pt>
                <c:pt idx="509">
                  <c:v>1.58</c:v>
                </c:pt>
                <c:pt idx="510">
                  <c:v>1.45</c:v>
                </c:pt>
                <c:pt idx="511">
                  <c:v>1.39</c:v>
                </c:pt>
                <c:pt idx="512">
                  <c:v>1.41</c:v>
                </c:pt>
                <c:pt idx="513">
                  <c:v>2.61</c:v>
                </c:pt>
                <c:pt idx="514">
                  <c:v>2.15</c:v>
                </c:pt>
                <c:pt idx="515">
                  <c:v>0.91805000000000003</c:v>
                </c:pt>
                <c:pt idx="516">
                  <c:v>1.49</c:v>
                </c:pt>
                <c:pt idx="517">
                  <c:v>0.79740999999999995</c:v>
                </c:pt>
                <c:pt idx="518">
                  <c:v>0.85331999999999997</c:v>
                </c:pt>
                <c:pt idx="519">
                  <c:v>0.91317999999999999</c:v>
                </c:pt>
                <c:pt idx="520">
                  <c:v>1.1100000000000001</c:v>
                </c:pt>
                <c:pt idx="521">
                  <c:v>1.26</c:v>
                </c:pt>
                <c:pt idx="522">
                  <c:v>1.57</c:v>
                </c:pt>
                <c:pt idx="523">
                  <c:v>1.47</c:v>
                </c:pt>
                <c:pt idx="524">
                  <c:v>1.32</c:v>
                </c:pt>
                <c:pt idx="525">
                  <c:v>1.4</c:v>
                </c:pt>
                <c:pt idx="526">
                  <c:v>1.21</c:v>
                </c:pt>
                <c:pt idx="527">
                  <c:v>1.74</c:v>
                </c:pt>
                <c:pt idx="528">
                  <c:v>1.7</c:v>
                </c:pt>
                <c:pt idx="529">
                  <c:v>1.25</c:v>
                </c:pt>
                <c:pt idx="530">
                  <c:v>2.74</c:v>
                </c:pt>
                <c:pt idx="531">
                  <c:v>3.76</c:v>
                </c:pt>
                <c:pt idx="532">
                  <c:v>1.76</c:v>
                </c:pt>
                <c:pt idx="533">
                  <c:v>1.26</c:v>
                </c:pt>
                <c:pt idx="534">
                  <c:v>1.1499999999999999</c:v>
                </c:pt>
                <c:pt idx="535">
                  <c:v>1.35</c:v>
                </c:pt>
                <c:pt idx="536">
                  <c:v>0.97280999999999995</c:v>
                </c:pt>
                <c:pt idx="537">
                  <c:v>1.65</c:v>
                </c:pt>
                <c:pt idx="538">
                  <c:v>2.0299999999999998</c:v>
                </c:pt>
                <c:pt idx="539">
                  <c:v>1.75</c:v>
                </c:pt>
                <c:pt idx="540">
                  <c:v>2.17</c:v>
                </c:pt>
                <c:pt idx="541">
                  <c:v>1.56</c:v>
                </c:pt>
                <c:pt idx="542">
                  <c:v>1.48</c:v>
                </c:pt>
                <c:pt idx="543">
                  <c:v>0.83940000000000003</c:v>
                </c:pt>
                <c:pt idx="544">
                  <c:v>1.43</c:v>
                </c:pt>
                <c:pt idx="545">
                  <c:v>1.17</c:v>
                </c:pt>
                <c:pt idx="546">
                  <c:v>0.76822999999999997</c:v>
                </c:pt>
                <c:pt idx="547">
                  <c:v>0.70386000000000004</c:v>
                </c:pt>
                <c:pt idx="548">
                  <c:v>0.62887000000000004</c:v>
                </c:pt>
                <c:pt idx="549">
                  <c:v>1.07</c:v>
                </c:pt>
                <c:pt idx="550">
                  <c:v>0.94706999999999997</c:v>
                </c:pt>
                <c:pt idx="551">
                  <c:v>0.69826999999999995</c:v>
                </c:pt>
                <c:pt idx="552">
                  <c:v>0.94804999999999995</c:v>
                </c:pt>
                <c:pt idx="553">
                  <c:v>3.39</c:v>
                </c:pt>
                <c:pt idx="554">
                  <c:v>1.54</c:v>
                </c:pt>
                <c:pt idx="555">
                  <c:v>1.51</c:v>
                </c:pt>
                <c:pt idx="556">
                  <c:v>1</c:v>
                </c:pt>
                <c:pt idx="557">
                  <c:v>0.65537000000000001</c:v>
                </c:pt>
                <c:pt idx="558">
                  <c:v>1.43</c:v>
                </c:pt>
                <c:pt idx="559">
                  <c:v>0.92354000000000003</c:v>
                </c:pt>
                <c:pt idx="560">
                  <c:v>1.41</c:v>
                </c:pt>
                <c:pt idx="561">
                  <c:v>0.77547999999999995</c:v>
                </c:pt>
                <c:pt idx="562">
                  <c:v>1.79</c:v>
                </c:pt>
                <c:pt idx="563">
                  <c:v>1.54</c:v>
                </c:pt>
                <c:pt idx="564">
                  <c:v>1.83</c:v>
                </c:pt>
                <c:pt idx="565">
                  <c:v>1.75</c:v>
                </c:pt>
                <c:pt idx="566">
                  <c:v>1.07</c:v>
                </c:pt>
                <c:pt idx="567">
                  <c:v>1.1299999999999999</c:v>
                </c:pt>
                <c:pt idx="568">
                  <c:v>1.2</c:v>
                </c:pt>
                <c:pt idx="569">
                  <c:v>0.83004999999999995</c:v>
                </c:pt>
                <c:pt idx="570">
                  <c:v>0.99121000000000004</c:v>
                </c:pt>
                <c:pt idx="571">
                  <c:v>0.75870000000000004</c:v>
                </c:pt>
                <c:pt idx="572">
                  <c:v>0.68774999999999997</c:v>
                </c:pt>
                <c:pt idx="573">
                  <c:v>1.4</c:v>
                </c:pt>
                <c:pt idx="574">
                  <c:v>1.1599999999999999</c:v>
                </c:pt>
                <c:pt idx="575">
                  <c:v>0.98067000000000004</c:v>
                </c:pt>
                <c:pt idx="576">
                  <c:v>0.72191000000000005</c:v>
                </c:pt>
                <c:pt idx="577">
                  <c:v>1.72</c:v>
                </c:pt>
                <c:pt idx="578">
                  <c:v>1.27</c:v>
                </c:pt>
                <c:pt idx="579">
                  <c:v>1.18</c:v>
                </c:pt>
                <c:pt idx="580">
                  <c:v>1.52</c:v>
                </c:pt>
                <c:pt idx="581">
                  <c:v>2.48</c:v>
                </c:pt>
                <c:pt idx="582">
                  <c:v>2.4</c:v>
                </c:pt>
                <c:pt idx="583">
                  <c:v>1.5</c:v>
                </c:pt>
                <c:pt idx="584">
                  <c:v>1.42</c:v>
                </c:pt>
                <c:pt idx="585">
                  <c:v>0.91269999999999996</c:v>
                </c:pt>
                <c:pt idx="586">
                  <c:v>1.22</c:v>
                </c:pt>
                <c:pt idx="587">
                  <c:v>1.17</c:v>
                </c:pt>
                <c:pt idx="588">
                  <c:v>1.43</c:v>
                </c:pt>
                <c:pt idx="589">
                  <c:v>5.2</c:v>
                </c:pt>
                <c:pt idx="590">
                  <c:v>1.78</c:v>
                </c:pt>
                <c:pt idx="591">
                  <c:v>1.65</c:v>
                </c:pt>
                <c:pt idx="592">
                  <c:v>1.3</c:v>
                </c:pt>
                <c:pt idx="593">
                  <c:v>2.2799999999999998</c:v>
                </c:pt>
                <c:pt idx="594">
                  <c:v>0.96645000000000003</c:v>
                </c:pt>
                <c:pt idx="595">
                  <c:v>2</c:v>
                </c:pt>
                <c:pt idx="596">
                  <c:v>1.76</c:v>
                </c:pt>
                <c:pt idx="597">
                  <c:v>2.08</c:v>
                </c:pt>
                <c:pt idx="598">
                  <c:v>1.48</c:v>
                </c:pt>
                <c:pt idx="599">
                  <c:v>1.36</c:v>
                </c:pt>
                <c:pt idx="600">
                  <c:v>0.80381999999999998</c:v>
                </c:pt>
                <c:pt idx="601">
                  <c:v>1</c:v>
                </c:pt>
                <c:pt idx="602">
                  <c:v>1.21</c:v>
                </c:pt>
                <c:pt idx="603">
                  <c:v>1.31</c:v>
                </c:pt>
                <c:pt idx="604">
                  <c:v>1.47</c:v>
                </c:pt>
                <c:pt idx="605">
                  <c:v>1.06</c:v>
                </c:pt>
                <c:pt idx="606">
                  <c:v>1.1599999999999999</c:v>
                </c:pt>
                <c:pt idx="607">
                  <c:v>1.53</c:v>
                </c:pt>
                <c:pt idx="608">
                  <c:v>1.97</c:v>
                </c:pt>
                <c:pt idx="609">
                  <c:v>0.97699999999999998</c:v>
                </c:pt>
                <c:pt idx="610">
                  <c:v>0.96003000000000005</c:v>
                </c:pt>
                <c:pt idx="611">
                  <c:v>1.1399999999999999</c:v>
                </c:pt>
                <c:pt idx="612">
                  <c:v>1.1399999999999999</c:v>
                </c:pt>
                <c:pt idx="613">
                  <c:v>0.80296000000000001</c:v>
                </c:pt>
                <c:pt idx="614">
                  <c:v>0.61983999999999995</c:v>
                </c:pt>
                <c:pt idx="615">
                  <c:v>0.95855999999999997</c:v>
                </c:pt>
                <c:pt idx="616">
                  <c:v>1.23</c:v>
                </c:pt>
                <c:pt idx="617">
                  <c:v>3.24</c:v>
                </c:pt>
                <c:pt idx="618">
                  <c:v>0.81340999999999997</c:v>
                </c:pt>
                <c:pt idx="619">
                  <c:v>1.1399999999999999</c:v>
                </c:pt>
                <c:pt idx="620">
                  <c:v>0.84409000000000001</c:v>
                </c:pt>
                <c:pt idx="621">
                  <c:v>1.0900000000000001</c:v>
                </c:pt>
                <c:pt idx="622">
                  <c:v>1.89</c:v>
                </c:pt>
                <c:pt idx="623">
                  <c:v>1.02</c:v>
                </c:pt>
                <c:pt idx="624">
                  <c:v>1.1200000000000001</c:v>
                </c:pt>
                <c:pt idx="625">
                  <c:v>3.95</c:v>
                </c:pt>
                <c:pt idx="626">
                  <c:v>1.23</c:v>
                </c:pt>
                <c:pt idx="627">
                  <c:v>2.08</c:v>
                </c:pt>
                <c:pt idx="628">
                  <c:v>3.75</c:v>
                </c:pt>
                <c:pt idx="629">
                  <c:v>1.5</c:v>
                </c:pt>
                <c:pt idx="630">
                  <c:v>1.8</c:v>
                </c:pt>
                <c:pt idx="631">
                  <c:v>2.2200000000000002</c:v>
                </c:pt>
                <c:pt idx="632">
                  <c:v>1.18</c:v>
                </c:pt>
                <c:pt idx="633">
                  <c:v>1.1200000000000001</c:v>
                </c:pt>
                <c:pt idx="634">
                  <c:v>1.26</c:v>
                </c:pt>
                <c:pt idx="635">
                  <c:v>1.0900000000000001</c:v>
                </c:pt>
                <c:pt idx="636">
                  <c:v>1.61</c:v>
                </c:pt>
                <c:pt idx="637">
                  <c:v>1.25</c:v>
                </c:pt>
                <c:pt idx="638">
                  <c:v>1.59</c:v>
                </c:pt>
                <c:pt idx="639">
                  <c:v>1.59</c:v>
                </c:pt>
                <c:pt idx="640">
                  <c:v>1.91</c:v>
                </c:pt>
                <c:pt idx="641">
                  <c:v>1.08</c:v>
                </c:pt>
                <c:pt idx="642">
                  <c:v>1.47</c:v>
                </c:pt>
                <c:pt idx="643">
                  <c:v>1.0900000000000001</c:v>
                </c:pt>
                <c:pt idx="644">
                  <c:v>1.7</c:v>
                </c:pt>
                <c:pt idx="645">
                  <c:v>1.63</c:v>
                </c:pt>
                <c:pt idx="646">
                  <c:v>1.53</c:v>
                </c:pt>
                <c:pt idx="647">
                  <c:v>0.95489999999999997</c:v>
                </c:pt>
                <c:pt idx="648">
                  <c:v>1.25</c:v>
                </c:pt>
                <c:pt idx="649">
                  <c:v>1.08</c:v>
                </c:pt>
                <c:pt idx="650">
                  <c:v>1.27</c:v>
                </c:pt>
                <c:pt idx="651">
                  <c:v>3.61</c:v>
                </c:pt>
                <c:pt idx="652">
                  <c:v>0.92271000000000003</c:v>
                </c:pt>
                <c:pt idx="653">
                  <c:v>1.44</c:v>
                </c:pt>
                <c:pt idx="654">
                  <c:v>2.65</c:v>
                </c:pt>
                <c:pt idx="655">
                  <c:v>1.78</c:v>
                </c:pt>
                <c:pt idx="656">
                  <c:v>0.87514000000000003</c:v>
                </c:pt>
                <c:pt idx="657">
                  <c:v>0.92040999999999995</c:v>
                </c:pt>
                <c:pt idx="658">
                  <c:v>1.27</c:v>
                </c:pt>
                <c:pt idx="659">
                  <c:v>1.6</c:v>
                </c:pt>
                <c:pt idx="660">
                  <c:v>1.1299999999999999</c:v>
                </c:pt>
                <c:pt idx="661">
                  <c:v>1.34</c:v>
                </c:pt>
                <c:pt idx="662">
                  <c:v>1.47</c:v>
                </c:pt>
                <c:pt idx="663">
                  <c:v>0.74502000000000002</c:v>
                </c:pt>
                <c:pt idx="664">
                  <c:v>1.82</c:v>
                </c:pt>
                <c:pt idx="665">
                  <c:v>0.77105999999999997</c:v>
                </c:pt>
                <c:pt idx="666">
                  <c:v>8.2470000000000002E-2</c:v>
                </c:pt>
                <c:pt idx="667">
                  <c:v>0.76080999999999999</c:v>
                </c:pt>
                <c:pt idx="668">
                  <c:v>1.46</c:v>
                </c:pt>
                <c:pt idx="669">
                  <c:v>1.42</c:v>
                </c:pt>
                <c:pt idx="670">
                  <c:v>1.76</c:v>
                </c:pt>
                <c:pt idx="671">
                  <c:v>0.94423000000000001</c:v>
                </c:pt>
                <c:pt idx="672">
                  <c:v>1.0900000000000001</c:v>
                </c:pt>
                <c:pt idx="673">
                  <c:v>0.81660999999999995</c:v>
                </c:pt>
                <c:pt idx="674">
                  <c:v>1.02</c:v>
                </c:pt>
                <c:pt idx="675">
                  <c:v>0.73514000000000002</c:v>
                </c:pt>
                <c:pt idx="676">
                  <c:v>1.88</c:v>
                </c:pt>
                <c:pt idx="677">
                  <c:v>1.27</c:v>
                </c:pt>
                <c:pt idx="678">
                  <c:v>3.1</c:v>
                </c:pt>
                <c:pt idx="679">
                  <c:v>1.35</c:v>
                </c:pt>
                <c:pt idx="680">
                  <c:v>2.19</c:v>
                </c:pt>
                <c:pt idx="681">
                  <c:v>3.11</c:v>
                </c:pt>
                <c:pt idx="682">
                  <c:v>1.57</c:v>
                </c:pt>
                <c:pt idx="683">
                  <c:v>3.93</c:v>
                </c:pt>
                <c:pt idx="684">
                  <c:v>1.61</c:v>
                </c:pt>
                <c:pt idx="685">
                  <c:v>2.0099999999999998</c:v>
                </c:pt>
                <c:pt idx="686">
                  <c:v>1.68</c:v>
                </c:pt>
                <c:pt idx="687">
                  <c:v>1.51</c:v>
                </c:pt>
                <c:pt idx="688">
                  <c:v>2.17</c:v>
                </c:pt>
                <c:pt idx="689">
                  <c:v>2.54</c:v>
                </c:pt>
                <c:pt idx="690">
                  <c:v>1.97</c:v>
                </c:pt>
                <c:pt idx="691">
                  <c:v>1.66</c:v>
                </c:pt>
                <c:pt idx="692">
                  <c:v>1.47</c:v>
                </c:pt>
                <c:pt idx="693">
                  <c:v>1.95</c:v>
                </c:pt>
                <c:pt idx="694">
                  <c:v>1.17</c:v>
                </c:pt>
                <c:pt idx="695">
                  <c:v>0.89378000000000002</c:v>
                </c:pt>
                <c:pt idx="696">
                  <c:v>1.07</c:v>
                </c:pt>
                <c:pt idx="697">
                  <c:v>1.64</c:v>
                </c:pt>
                <c:pt idx="698">
                  <c:v>1.31</c:v>
                </c:pt>
                <c:pt idx="699">
                  <c:v>0.52634999999999998</c:v>
                </c:pt>
                <c:pt idx="700">
                  <c:v>1.31</c:v>
                </c:pt>
                <c:pt idx="701">
                  <c:v>1.01</c:v>
                </c:pt>
                <c:pt idx="702">
                  <c:v>1.38</c:v>
                </c:pt>
                <c:pt idx="703">
                  <c:v>1.1499999999999999</c:v>
                </c:pt>
                <c:pt idx="704">
                  <c:v>1.19</c:v>
                </c:pt>
                <c:pt idx="705">
                  <c:v>1.02</c:v>
                </c:pt>
                <c:pt idx="706">
                  <c:v>0.88127999999999995</c:v>
                </c:pt>
                <c:pt idx="707">
                  <c:v>2.4</c:v>
                </c:pt>
                <c:pt idx="708">
                  <c:v>2.98</c:v>
                </c:pt>
                <c:pt idx="709">
                  <c:v>1.39</c:v>
                </c:pt>
                <c:pt idx="710">
                  <c:v>1.6</c:v>
                </c:pt>
                <c:pt idx="711">
                  <c:v>3.05</c:v>
                </c:pt>
                <c:pt idx="712">
                  <c:v>1.27</c:v>
                </c:pt>
                <c:pt idx="713">
                  <c:v>1.32</c:v>
                </c:pt>
                <c:pt idx="714">
                  <c:v>2.4700000000000002</c:v>
                </c:pt>
                <c:pt idx="715">
                  <c:v>4.37</c:v>
                </c:pt>
                <c:pt idx="716">
                  <c:v>1.55</c:v>
                </c:pt>
                <c:pt idx="717">
                  <c:v>2.36</c:v>
                </c:pt>
                <c:pt idx="718">
                  <c:v>1.59</c:v>
                </c:pt>
                <c:pt idx="719">
                  <c:v>1.79</c:v>
                </c:pt>
                <c:pt idx="720">
                  <c:v>1.45</c:v>
                </c:pt>
                <c:pt idx="721">
                  <c:v>1.73</c:v>
                </c:pt>
                <c:pt idx="722">
                  <c:v>1.96</c:v>
                </c:pt>
                <c:pt idx="723">
                  <c:v>1.32</c:v>
                </c:pt>
                <c:pt idx="724">
                  <c:v>1.56</c:v>
                </c:pt>
                <c:pt idx="725">
                  <c:v>1.1499999999999999</c:v>
                </c:pt>
                <c:pt idx="726">
                  <c:v>1.76</c:v>
                </c:pt>
                <c:pt idx="727">
                  <c:v>0.88646999999999998</c:v>
                </c:pt>
                <c:pt idx="728">
                  <c:v>1.29</c:v>
                </c:pt>
                <c:pt idx="729">
                  <c:v>0.95787</c:v>
                </c:pt>
                <c:pt idx="730">
                  <c:v>1.4</c:v>
                </c:pt>
                <c:pt idx="731">
                  <c:v>2.5499999999999998</c:v>
                </c:pt>
                <c:pt idx="732">
                  <c:v>2.36</c:v>
                </c:pt>
                <c:pt idx="733">
                  <c:v>0.57667999999999997</c:v>
                </c:pt>
                <c:pt idx="734">
                  <c:v>1.03</c:v>
                </c:pt>
                <c:pt idx="735">
                  <c:v>1.1299999999999999</c:v>
                </c:pt>
                <c:pt idx="736">
                  <c:v>2.2599999999999998</c:v>
                </c:pt>
                <c:pt idx="737">
                  <c:v>1.21</c:v>
                </c:pt>
                <c:pt idx="738">
                  <c:v>0.83160000000000001</c:v>
                </c:pt>
                <c:pt idx="739">
                  <c:v>1.1200000000000001</c:v>
                </c:pt>
                <c:pt idx="740">
                  <c:v>0.62914999999999999</c:v>
                </c:pt>
                <c:pt idx="741">
                  <c:v>2.85</c:v>
                </c:pt>
                <c:pt idx="742">
                  <c:v>2.33</c:v>
                </c:pt>
                <c:pt idx="743">
                  <c:v>4.2909999999999997E-2</c:v>
                </c:pt>
                <c:pt idx="744">
                  <c:v>1.5</c:v>
                </c:pt>
                <c:pt idx="745">
                  <c:v>1.59</c:v>
                </c:pt>
                <c:pt idx="746">
                  <c:v>1.35</c:v>
                </c:pt>
                <c:pt idx="747">
                  <c:v>1.82</c:v>
                </c:pt>
                <c:pt idx="748">
                  <c:v>2.04</c:v>
                </c:pt>
                <c:pt idx="749">
                  <c:v>1.01</c:v>
                </c:pt>
                <c:pt idx="750">
                  <c:v>2.3199999999999998</c:v>
                </c:pt>
                <c:pt idx="751">
                  <c:v>2.29</c:v>
                </c:pt>
                <c:pt idx="752">
                  <c:v>2.75</c:v>
                </c:pt>
                <c:pt idx="753">
                  <c:v>2.4900000000000002</c:v>
                </c:pt>
                <c:pt idx="754">
                  <c:v>4.22</c:v>
                </c:pt>
                <c:pt idx="755">
                  <c:v>3</c:v>
                </c:pt>
                <c:pt idx="756">
                  <c:v>3.5</c:v>
                </c:pt>
                <c:pt idx="757">
                  <c:v>3.51</c:v>
                </c:pt>
                <c:pt idx="758">
                  <c:v>3.03</c:v>
                </c:pt>
                <c:pt idx="759">
                  <c:v>2.17</c:v>
                </c:pt>
                <c:pt idx="760">
                  <c:v>3.19</c:v>
                </c:pt>
                <c:pt idx="761">
                  <c:v>1.43</c:v>
                </c:pt>
                <c:pt idx="762">
                  <c:v>1.22</c:v>
                </c:pt>
                <c:pt idx="763">
                  <c:v>1.18</c:v>
                </c:pt>
                <c:pt idx="764">
                  <c:v>1.89</c:v>
                </c:pt>
                <c:pt idx="765">
                  <c:v>1.1499999999999999</c:v>
                </c:pt>
                <c:pt idx="766">
                  <c:v>1.1299999999999999</c:v>
                </c:pt>
                <c:pt idx="767">
                  <c:v>1.19</c:v>
                </c:pt>
                <c:pt idx="768">
                  <c:v>2.31</c:v>
                </c:pt>
                <c:pt idx="769">
                  <c:v>3.39</c:v>
                </c:pt>
                <c:pt idx="770">
                  <c:v>4.91</c:v>
                </c:pt>
                <c:pt idx="771">
                  <c:v>2.82</c:v>
                </c:pt>
                <c:pt idx="772">
                  <c:v>3.39</c:v>
                </c:pt>
                <c:pt idx="773">
                  <c:v>2.34</c:v>
                </c:pt>
                <c:pt idx="774">
                  <c:v>1.8</c:v>
                </c:pt>
                <c:pt idx="775">
                  <c:v>1.99</c:v>
                </c:pt>
                <c:pt idx="776">
                  <c:v>1.4</c:v>
                </c:pt>
                <c:pt idx="777">
                  <c:v>4.95</c:v>
                </c:pt>
                <c:pt idx="778">
                  <c:v>2.31</c:v>
                </c:pt>
                <c:pt idx="779">
                  <c:v>1.4</c:v>
                </c:pt>
                <c:pt idx="780">
                  <c:v>2.12</c:v>
                </c:pt>
                <c:pt idx="781">
                  <c:v>2.14</c:v>
                </c:pt>
                <c:pt idx="782">
                  <c:v>2.6</c:v>
                </c:pt>
                <c:pt idx="783">
                  <c:v>1.62</c:v>
                </c:pt>
                <c:pt idx="784">
                  <c:v>8.2799999999999994</c:v>
                </c:pt>
                <c:pt idx="785">
                  <c:v>1.81</c:v>
                </c:pt>
                <c:pt idx="786">
                  <c:v>1.56</c:v>
                </c:pt>
                <c:pt idx="787">
                  <c:v>2.61</c:v>
                </c:pt>
                <c:pt idx="788">
                  <c:v>1.17</c:v>
                </c:pt>
                <c:pt idx="789">
                  <c:v>0.68942999999999999</c:v>
                </c:pt>
                <c:pt idx="790">
                  <c:v>0.81228</c:v>
                </c:pt>
                <c:pt idx="791">
                  <c:v>1.88</c:v>
                </c:pt>
                <c:pt idx="792">
                  <c:v>1.26</c:v>
                </c:pt>
                <c:pt idx="793">
                  <c:v>7.3810000000000001E-2</c:v>
                </c:pt>
                <c:pt idx="794">
                  <c:v>1.66</c:v>
                </c:pt>
                <c:pt idx="795">
                  <c:v>1.91</c:v>
                </c:pt>
                <c:pt idx="796">
                  <c:v>1.61</c:v>
                </c:pt>
                <c:pt idx="797">
                  <c:v>0.97409999999999997</c:v>
                </c:pt>
                <c:pt idx="798">
                  <c:v>1.1200000000000001</c:v>
                </c:pt>
                <c:pt idx="799">
                  <c:v>1.63</c:v>
                </c:pt>
                <c:pt idx="800">
                  <c:v>1.59</c:v>
                </c:pt>
                <c:pt idx="801">
                  <c:v>1.84</c:v>
                </c:pt>
                <c:pt idx="802">
                  <c:v>5.53</c:v>
                </c:pt>
                <c:pt idx="803">
                  <c:v>1.21</c:v>
                </c:pt>
                <c:pt idx="804">
                  <c:v>7.83</c:v>
                </c:pt>
                <c:pt idx="805">
                  <c:v>11.06</c:v>
                </c:pt>
                <c:pt idx="806">
                  <c:v>4.0999999999999996</c:v>
                </c:pt>
                <c:pt idx="807">
                  <c:v>3.97</c:v>
                </c:pt>
                <c:pt idx="808">
                  <c:v>1.45</c:v>
                </c:pt>
                <c:pt idx="809">
                  <c:v>1.4</c:v>
                </c:pt>
                <c:pt idx="810">
                  <c:v>1.75</c:v>
                </c:pt>
                <c:pt idx="811">
                  <c:v>3.12</c:v>
                </c:pt>
                <c:pt idx="812">
                  <c:v>1.73</c:v>
                </c:pt>
                <c:pt idx="813">
                  <c:v>1.82</c:v>
                </c:pt>
                <c:pt idx="814">
                  <c:v>0.98697999999999997</c:v>
                </c:pt>
                <c:pt idx="815">
                  <c:v>2.16</c:v>
                </c:pt>
                <c:pt idx="816">
                  <c:v>3.65</c:v>
                </c:pt>
                <c:pt idx="817">
                  <c:v>1.95</c:v>
                </c:pt>
                <c:pt idx="818">
                  <c:v>0.83379000000000003</c:v>
                </c:pt>
                <c:pt idx="819">
                  <c:v>1.74</c:v>
                </c:pt>
                <c:pt idx="820">
                  <c:v>3.4</c:v>
                </c:pt>
                <c:pt idx="821">
                  <c:v>2.13</c:v>
                </c:pt>
                <c:pt idx="822">
                  <c:v>3.31</c:v>
                </c:pt>
                <c:pt idx="823">
                  <c:v>1.31</c:v>
                </c:pt>
                <c:pt idx="824">
                  <c:v>1.41</c:v>
                </c:pt>
                <c:pt idx="825">
                  <c:v>1.98</c:v>
                </c:pt>
                <c:pt idx="826">
                  <c:v>1.75</c:v>
                </c:pt>
                <c:pt idx="827">
                  <c:v>2.82</c:v>
                </c:pt>
                <c:pt idx="828">
                  <c:v>1.48</c:v>
                </c:pt>
                <c:pt idx="829">
                  <c:v>1.76</c:v>
                </c:pt>
                <c:pt idx="830">
                  <c:v>1.43</c:v>
                </c:pt>
                <c:pt idx="831">
                  <c:v>1.91</c:v>
                </c:pt>
                <c:pt idx="832">
                  <c:v>0.92010000000000003</c:v>
                </c:pt>
                <c:pt idx="833">
                  <c:v>3.3</c:v>
                </c:pt>
                <c:pt idx="834">
                  <c:v>5.57</c:v>
                </c:pt>
                <c:pt idx="835">
                  <c:v>1.67</c:v>
                </c:pt>
                <c:pt idx="836">
                  <c:v>1.91</c:v>
                </c:pt>
                <c:pt idx="837">
                  <c:v>3.91</c:v>
                </c:pt>
                <c:pt idx="838">
                  <c:v>3.61</c:v>
                </c:pt>
                <c:pt idx="839">
                  <c:v>2.17</c:v>
                </c:pt>
                <c:pt idx="840">
                  <c:v>2.14</c:v>
                </c:pt>
                <c:pt idx="841">
                  <c:v>0.95701000000000003</c:v>
                </c:pt>
                <c:pt idx="842">
                  <c:v>1.56</c:v>
                </c:pt>
                <c:pt idx="843">
                  <c:v>1.75</c:v>
                </c:pt>
                <c:pt idx="844">
                  <c:v>1.89</c:v>
                </c:pt>
                <c:pt idx="845">
                  <c:v>1.74</c:v>
                </c:pt>
                <c:pt idx="846">
                  <c:v>3.12</c:v>
                </c:pt>
                <c:pt idx="847">
                  <c:v>2.2999999999999998</c:v>
                </c:pt>
                <c:pt idx="848">
                  <c:v>1.71</c:v>
                </c:pt>
                <c:pt idx="849">
                  <c:v>1.46</c:v>
                </c:pt>
                <c:pt idx="850">
                  <c:v>1.28</c:v>
                </c:pt>
                <c:pt idx="851">
                  <c:v>1.3</c:v>
                </c:pt>
                <c:pt idx="852">
                  <c:v>1.05</c:v>
                </c:pt>
                <c:pt idx="853">
                  <c:v>0.94699999999999995</c:v>
                </c:pt>
                <c:pt idx="854">
                  <c:v>1.73</c:v>
                </c:pt>
                <c:pt idx="855">
                  <c:v>1.1299999999999999</c:v>
                </c:pt>
                <c:pt idx="856">
                  <c:v>1.1000000000000001</c:v>
                </c:pt>
                <c:pt idx="857">
                  <c:v>1.42</c:v>
                </c:pt>
                <c:pt idx="858">
                  <c:v>1.55</c:v>
                </c:pt>
                <c:pt idx="859">
                  <c:v>2.11</c:v>
                </c:pt>
                <c:pt idx="860">
                  <c:v>1.1499999999999999</c:v>
                </c:pt>
                <c:pt idx="861">
                  <c:v>1.36</c:v>
                </c:pt>
                <c:pt idx="862">
                  <c:v>1.72</c:v>
                </c:pt>
                <c:pt idx="863">
                  <c:v>2.13</c:v>
                </c:pt>
                <c:pt idx="864">
                  <c:v>4.03</c:v>
                </c:pt>
                <c:pt idx="865">
                  <c:v>0.95794999999999997</c:v>
                </c:pt>
                <c:pt idx="866">
                  <c:v>2.02</c:v>
                </c:pt>
                <c:pt idx="867">
                  <c:v>1.64</c:v>
                </c:pt>
                <c:pt idx="868">
                  <c:v>1.95</c:v>
                </c:pt>
                <c:pt idx="869">
                  <c:v>1.67</c:v>
                </c:pt>
                <c:pt idx="870">
                  <c:v>3.34</c:v>
                </c:pt>
                <c:pt idx="871">
                  <c:v>1.54</c:v>
                </c:pt>
                <c:pt idx="872">
                  <c:v>1.91</c:v>
                </c:pt>
                <c:pt idx="873">
                  <c:v>2.4500000000000002</c:v>
                </c:pt>
                <c:pt idx="874">
                  <c:v>1.9</c:v>
                </c:pt>
                <c:pt idx="875">
                  <c:v>1.49</c:v>
                </c:pt>
                <c:pt idx="876">
                  <c:v>1.1000000000000001</c:v>
                </c:pt>
                <c:pt idx="877">
                  <c:v>0.46479999999999999</c:v>
                </c:pt>
                <c:pt idx="878">
                  <c:v>1.71</c:v>
                </c:pt>
                <c:pt idx="879">
                  <c:v>3.64</c:v>
                </c:pt>
                <c:pt idx="880">
                  <c:v>1.3</c:v>
                </c:pt>
                <c:pt idx="881">
                  <c:v>1.93</c:v>
                </c:pt>
                <c:pt idx="882">
                  <c:v>1.06</c:v>
                </c:pt>
                <c:pt idx="883">
                  <c:v>1.9</c:v>
                </c:pt>
                <c:pt idx="884">
                  <c:v>2.98</c:v>
                </c:pt>
                <c:pt idx="885">
                  <c:v>1.63</c:v>
                </c:pt>
                <c:pt idx="886">
                  <c:v>1.18</c:v>
                </c:pt>
                <c:pt idx="887">
                  <c:v>1.23</c:v>
                </c:pt>
                <c:pt idx="888">
                  <c:v>2.46</c:v>
                </c:pt>
                <c:pt idx="889">
                  <c:v>1.28</c:v>
                </c:pt>
                <c:pt idx="890">
                  <c:v>1.76</c:v>
                </c:pt>
                <c:pt idx="891">
                  <c:v>1.48</c:v>
                </c:pt>
                <c:pt idx="892">
                  <c:v>2.0699999999999998</c:v>
                </c:pt>
                <c:pt idx="893">
                  <c:v>0.67930999999999997</c:v>
                </c:pt>
                <c:pt idx="894">
                  <c:v>0.87400999999999995</c:v>
                </c:pt>
                <c:pt idx="895">
                  <c:v>1.08</c:v>
                </c:pt>
                <c:pt idx="896">
                  <c:v>1.17</c:v>
                </c:pt>
                <c:pt idx="897">
                  <c:v>1.37</c:v>
                </c:pt>
                <c:pt idx="898">
                  <c:v>1.1399999999999999</c:v>
                </c:pt>
                <c:pt idx="899">
                  <c:v>0.79235</c:v>
                </c:pt>
                <c:pt idx="900">
                  <c:v>1.27</c:v>
                </c:pt>
                <c:pt idx="901">
                  <c:v>1.43</c:v>
                </c:pt>
                <c:pt idx="902">
                  <c:v>9.2200000000000006</c:v>
                </c:pt>
                <c:pt idx="903">
                  <c:v>2.76</c:v>
                </c:pt>
                <c:pt idx="904">
                  <c:v>0.85282999999999998</c:v>
                </c:pt>
                <c:pt idx="905">
                  <c:v>1.7</c:v>
                </c:pt>
                <c:pt idx="906">
                  <c:v>1.2</c:v>
                </c:pt>
                <c:pt idx="907">
                  <c:v>1.9</c:v>
                </c:pt>
                <c:pt idx="908">
                  <c:v>0.11853</c:v>
                </c:pt>
                <c:pt idx="909">
                  <c:v>1.1000000000000001</c:v>
                </c:pt>
                <c:pt idx="910">
                  <c:v>0.70204999999999995</c:v>
                </c:pt>
                <c:pt idx="911">
                  <c:v>1.22</c:v>
                </c:pt>
                <c:pt idx="912">
                  <c:v>1.32</c:v>
                </c:pt>
                <c:pt idx="913">
                  <c:v>1.7</c:v>
                </c:pt>
                <c:pt idx="914">
                  <c:v>1.18</c:v>
                </c:pt>
                <c:pt idx="915">
                  <c:v>1.62</c:v>
                </c:pt>
                <c:pt idx="916">
                  <c:v>1.26</c:v>
                </c:pt>
                <c:pt idx="917">
                  <c:v>2.44</c:v>
                </c:pt>
                <c:pt idx="918">
                  <c:v>1.37</c:v>
                </c:pt>
                <c:pt idx="919">
                  <c:v>1.1299999999999999</c:v>
                </c:pt>
                <c:pt idx="920">
                  <c:v>1.29</c:v>
                </c:pt>
                <c:pt idx="921">
                  <c:v>1.7</c:v>
                </c:pt>
                <c:pt idx="922">
                  <c:v>4.37</c:v>
                </c:pt>
                <c:pt idx="923">
                  <c:v>0.98243999999999998</c:v>
                </c:pt>
                <c:pt idx="924">
                  <c:v>0.94823000000000002</c:v>
                </c:pt>
                <c:pt idx="925">
                  <c:v>2.54</c:v>
                </c:pt>
                <c:pt idx="926">
                  <c:v>1.8</c:v>
                </c:pt>
                <c:pt idx="927">
                  <c:v>1.01</c:v>
                </c:pt>
                <c:pt idx="928">
                  <c:v>1.64</c:v>
                </c:pt>
                <c:pt idx="929">
                  <c:v>1.32</c:v>
                </c:pt>
                <c:pt idx="930">
                  <c:v>2.0699999999999998</c:v>
                </c:pt>
                <c:pt idx="931">
                  <c:v>1.31</c:v>
                </c:pt>
                <c:pt idx="932">
                  <c:v>3.39</c:v>
                </c:pt>
                <c:pt idx="933">
                  <c:v>2.06</c:v>
                </c:pt>
                <c:pt idx="934">
                  <c:v>1.72</c:v>
                </c:pt>
                <c:pt idx="935">
                  <c:v>3.23</c:v>
                </c:pt>
                <c:pt idx="936">
                  <c:v>2.2599999999999998</c:v>
                </c:pt>
                <c:pt idx="937">
                  <c:v>1.25</c:v>
                </c:pt>
                <c:pt idx="938">
                  <c:v>2.13</c:v>
                </c:pt>
                <c:pt idx="939">
                  <c:v>0.98839999999999995</c:v>
                </c:pt>
                <c:pt idx="940">
                  <c:v>1.66</c:v>
                </c:pt>
                <c:pt idx="941">
                  <c:v>2.0699999999999998</c:v>
                </c:pt>
                <c:pt idx="942">
                  <c:v>1.07</c:v>
                </c:pt>
                <c:pt idx="943">
                  <c:v>0.68364999999999998</c:v>
                </c:pt>
                <c:pt idx="944">
                  <c:v>1.03</c:v>
                </c:pt>
                <c:pt idx="945">
                  <c:v>0.55681999999999998</c:v>
                </c:pt>
                <c:pt idx="946">
                  <c:v>0.92418</c:v>
                </c:pt>
                <c:pt idx="947">
                  <c:v>1.88</c:v>
                </c:pt>
                <c:pt idx="948">
                  <c:v>0.55989</c:v>
                </c:pt>
                <c:pt idx="949">
                  <c:v>1.65</c:v>
                </c:pt>
                <c:pt idx="950">
                  <c:v>1.27</c:v>
                </c:pt>
                <c:pt idx="951">
                  <c:v>0.90042</c:v>
                </c:pt>
                <c:pt idx="952">
                  <c:v>0.92276999999999998</c:v>
                </c:pt>
                <c:pt idx="953">
                  <c:v>0.95335000000000003</c:v>
                </c:pt>
                <c:pt idx="954">
                  <c:v>2.4300000000000002</c:v>
                </c:pt>
                <c:pt idx="955">
                  <c:v>1.65</c:v>
                </c:pt>
                <c:pt idx="956">
                  <c:v>2.6</c:v>
                </c:pt>
                <c:pt idx="957">
                  <c:v>2.0499999999999998</c:v>
                </c:pt>
                <c:pt idx="958">
                  <c:v>1.22</c:v>
                </c:pt>
                <c:pt idx="959">
                  <c:v>2.76</c:v>
                </c:pt>
                <c:pt idx="960">
                  <c:v>1.33</c:v>
                </c:pt>
                <c:pt idx="961">
                  <c:v>1.38</c:v>
                </c:pt>
                <c:pt idx="962">
                  <c:v>1.84</c:v>
                </c:pt>
                <c:pt idx="963">
                  <c:v>2.66</c:v>
                </c:pt>
                <c:pt idx="964">
                  <c:v>3.41</c:v>
                </c:pt>
                <c:pt idx="965">
                  <c:v>1.69</c:v>
                </c:pt>
                <c:pt idx="966">
                  <c:v>2.48</c:v>
                </c:pt>
                <c:pt idx="967">
                  <c:v>1.89</c:v>
                </c:pt>
                <c:pt idx="968">
                  <c:v>0.69957999999999998</c:v>
                </c:pt>
                <c:pt idx="969">
                  <c:v>1.42</c:v>
                </c:pt>
                <c:pt idx="970">
                  <c:v>2.12</c:v>
                </c:pt>
                <c:pt idx="971">
                  <c:v>2.97</c:v>
                </c:pt>
                <c:pt idx="972">
                  <c:v>2.5299999999999998</c:v>
                </c:pt>
                <c:pt idx="973">
                  <c:v>1.99</c:v>
                </c:pt>
                <c:pt idx="974">
                  <c:v>1.36</c:v>
                </c:pt>
                <c:pt idx="975">
                  <c:v>1.1299999999999999</c:v>
                </c:pt>
                <c:pt idx="976">
                  <c:v>0.85560000000000003</c:v>
                </c:pt>
                <c:pt idx="977">
                  <c:v>1.33</c:v>
                </c:pt>
                <c:pt idx="978">
                  <c:v>1.39</c:v>
                </c:pt>
                <c:pt idx="979">
                  <c:v>1.34</c:v>
                </c:pt>
                <c:pt idx="980">
                  <c:v>1.33</c:v>
                </c:pt>
                <c:pt idx="981">
                  <c:v>1.1399999999999999</c:v>
                </c:pt>
                <c:pt idx="982">
                  <c:v>1.41</c:v>
                </c:pt>
                <c:pt idx="983">
                  <c:v>1.04</c:v>
                </c:pt>
                <c:pt idx="984">
                  <c:v>1.52</c:v>
                </c:pt>
                <c:pt idx="985">
                  <c:v>2.21</c:v>
                </c:pt>
                <c:pt idx="986">
                  <c:v>1.78</c:v>
                </c:pt>
                <c:pt idx="987">
                  <c:v>1.63</c:v>
                </c:pt>
                <c:pt idx="988">
                  <c:v>1.99</c:v>
                </c:pt>
                <c:pt idx="989">
                  <c:v>1.7</c:v>
                </c:pt>
                <c:pt idx="990">
                  <c:v>3.68</c:v>
                </c:pt>
                <c:pt idx="991">
                  <c:v>1.31</c:v>
                </c:pt>
                <c:pt idx="992">
                  <c:v>1.8</c:v>
                </c:pt>
                <c:pt idx="993">
                  <c:v>1.1499999999999999</c:v>
                </c:pt>
                <c:pt idx="994">
                  <c:v>1.86</c:v>
                </c:pt>
                <c:pt idx="995">
                  <c:v>1.74</c:v>
                </c:pt>
                <c:pt idx="996">
                  <c:v>1.24</c:v>
                </c:pt>
                <c:pt idx="997">
                  <c:v>1.33</c:v>
                </c:pt>
                <c:pt idx="998">
                  <c:v>1.53</c:v>
                </c:pt>
                <c:pt idx="999">
                  <c:v>1.85</c:v>
                </c:pt>
                <c:pt idx="1000">
                  <c:v>1.1100000000000001</c:v>
                </c:pt>
                <c:pt idx="1001">
                  <c:v>1.48</c:v>
                </c:pt>
                <c:pt idx="1002">
                  <c:v>1.34</c:v>
                </c:pt>
                <c:pt idx="1003">
                  <c:v>1.43</c:v>
                </c:pt>
                <c:pt idx="1004">
                  <c:v>2.15</c:v>
                </c:pt>
                <c:pt idx="1005">
                  <c:v>1.45</c:v>
                </c:pt>
                <c:pt idx="1006">
                  <c:v>2.23</c:v>
                </c:pt>
                <c:pt idx="1007">
                  <c:v>1.42</c:v>
                </c:pt>
                <c:pt idx="1008">
                  <c:v>3.75</c:v>
                </c:pt>
                <c:pt idx="1009">
                  <c:v>2.2799999999999998</c:v>
                </c:pt>
                <c:pt idx="1010">
                  <c:v>2.5</c:v>
                </c:pt>
                <c:pt idx="1011">
                  <c:v>1.35</c:v>
                </c:pt>
                <c:pt idx="1012">
                  <c:v>1.31</c:v>
                </c:pt>
                <c:pt idx="1013">
                  <c:v>1.1200000000000001</c:v>
                </c:pt>
                <c:pt idx="1014">
                  <c:v>3.44</c:v>
                </c:pt>
                <c:pt idx="1015">
                  <c:v>2.77</c:v>
                </c:pt>
                <c:pt idx="1016">
                  <c:v>2.99</c:v>
                </c:pt>
                <c:pt idx="1017">
                  <c:v>3.84</c:v>
                </c:pt>
                <c:pt idx="1018">
                  <c:v>3.04</c:v>
                </c:pt>
                <c:pt idx="1019">
                  <c:v>1.1299999999999999</c:v>
                </c:pt>
                <c:pt idx="1020">
                  <c:v>1.96</c:v>
                </c:pt>
                <c:pt idx="1021">
                  <c:v>1.48</c:v>
                </c:pt>
                <c:pt idx="1022">
                  <c:v>2.35</c:v>
                </c:pt>
                <c:pt idx="1023">
                  <c:v>2.23</c:v>
                </c:pt>
                <c:pt idx="1024">
                  <c:v>7.07</c:v>
                </c:pt>
                <c:pt idx="1025">
                  <c:v>2.86</c:v>
                </c:pt>
                <c:pt idx="1026">
                  <c:v>1.56</c:v>
                </c:pt>
                <c:pt idx="1027">
                  <c:v>1.9</c:v>
                </c:pt>
                <c:pt idx="1028">
                  <c:v>2.08</c:v>
                </c:pt>
                <c:pt idx="1029">
                  <c:v>1.95</c:v>
                </c:pt>
                <c:pt idx="1030">
                  <c:v>2.0699999999999998</c:v>
                </c:pt>
                <c:pt idx="1031">
                  <c:v>1.89</c:v>
                </c:pt>
                <c:pt idx="1032">
                  <c:v>1.61</c:v>
                </c:pt>
                <c:pt idx="1033">
                  <c:v>2.3199999999999998</c:v>
                </c:pt>
                <c:pt idx="1034">
                  <c:v>1.81</c:v>
                </c:pt>
                <c:pt idx="1035">
                  <c:v>1.27</c:v>
                </c:pt>
                <c:pt idx="1036">
                  <c:v>1.93</c:v>
                </c:pt>
                <c:pt idx="1037">
                  <c:v>1.57</c:v>
                </c:pt>
                <c:pt idx="1038">
                  <c:v>3.24</c:v>
                </c:pt>
                <c:pt idx="1039">
                  <c:v>1.47</c:v>
                </c:pt>
                <c:pt idx="1040">
                  <c:v>0.93666000000000005</c:v>
                </c:pt>
                <c:pt idx="1041">
                  <c:v>1.62</c:v>
                </c:pt>
                <c:pt idx="1042">
                  <c:v>1.57</c:v>
                </c:pt>
                <c:pt idx="1043">
                  <c:v>2.42</c:v>
                </c:pt>
                <c:pt idx="1044">
                  <c:v>0.84411999999999998</c:v>
                </c:pt>
                <c:pt idx="1045">
                  <c:v>0.89261999999999997</c:v>
                </c:pt>
                <c:pt idx="1046">
                  <c:v>1.87</c:v>
                </c:pt>
                <c:pt idx="1047">
                  <c:v>0.89751999999999998</c:v>
                </c:pt>
                <c:pt idx="1048">
                  <c:v>1.1100000000000001</c:v>
                </c:pt>
                <c:pt idx="1049">
                  <c:v>3.29</c:v>
                </c:pt>
                <c:pt idx="1050">
                  <c:v>1.18</c:v>
                </c:pt>
                <c:pt idx="1051">
                  <c:v>1.64</c:v>
                </c:pt>
                <c:pt idx="1052">
                  <c:v>3.29</c:v>
                </c:pt>
                <c:pt idx="1053">
                  <c:v>1.79</c:v>
                </c:pt>
                <c:pt idx="1054">
                  <c:v>0.99748999999999999</c:v>
                </c:pt>
                <c:pt idx="1055">
                  <c:v>1.29</c:v>
                </c:pt>
                <c:pt idx="1056">
                  <c:v>1.78</c:v>
                </c:pt>
                <c:pt idx="1057">
                  <c:v>1.98</c:v>
                </c:pt>
                <c:pt idx="1058">
                  <c:v>3.34</c:v>
                </c:pt>
                <c:pt idx="1059">
                  <c:v>1.74</c:v>
                </c:pt>
                <c:pt idx="1060">
                  <c:v>1.1100000000000001</c:v>
                </c:pt>
                <c:pt idx="1061">
                  <c:v>1.1200000000000001</c:v>
                </c:pt>
                <c:pt idx="1062">
                  <c:v>2.06</c:v>
                </c:pt>
                <c:pt idx="1063">
                  <c:v>1.21</c:v>
                </c:pt>
                <c:pt idx="1064">
                  <c:v>2.69</c:v>
                </c:pt>
                <c:pt idx="1065">
                  <c:v>0.84286000000000005</c:v>
                </c:pt>
                <c:pt idx="1066">
                  <c:v>2.44</c:v>
                </c:pt>
                <c:pt idx="1067">
                  <c:v>1.05</c:v>
                </c:pt>
                <c:pt idx="1068">
                  <c:v>1.87</c:v>
                </c:pt>
                <c:pt idx="1069">
                  <c:v>1.05</c:v>
                </c:pt>
                <c:pt idx="1070">
                  <c:v>1.4</c:v>
                </c:pt>
                <c:pt idx="1071">
                  <c:v>0.75990999999999997</c:v>
                </c:pt>
                <c:pt idx="1072">
                  <c:v>1.1299999999999999</c:v>
                </c:pt>
                <c:pt idx="1073">
                  <c:v>1.06</c:v>
                </c:pt>
                <c:pt idx="1074">
                  <c:v>1.24</c:v>
                </c:pt>
                <c:pt idx="1075">
                  <c:v>2.7</c:v>
                </c:pt>
                <c:pt idx="1076">
                  <c:v>1.47</c:v>
                </c:pt>
                <c:pt idx="1077">
                  <c:v>1.74</c:v>
                </c:pt>
                <c:pt idx="1078">
                  <c:v>1.05</c:v>
                </c:pt>
                <c:pt idx="1079">
                  <c:v>7.24</c:v>
                </c:pt>
                <c:pt idx="1080">
                  <c:v>2.4300000000000002</c:v>
                </c:pt>
                <c:pt idx="1081">
                  <c:v>1.7</c:v>
                </c:pt>
                <c:pt idx="1082">
                  <c:v>1.28</c:v>
                </c:pt>
                <c:pt idx="1083">
                  <c:v>0.80747000000000002</c:v>
                </c:pt>
                <c:pt idx="1084">
                  <c:v>0.77110999999999996</c:v>
                </c:pt>
                <c:pt idx="1085">
                  <c:v>1.17</c:v>
                </c:pt>
                <c:pt idx="1086">
                  <c:v>0.86163000000000001</c:v>
                </c:pt>
                <c:pt idx="1087">
                  <c:v>1.32</c:v>
                </c:pt>
                <c:pt idx="1088">
                  <c:v>0.69398000000000004</c:v>
                </c:pt>
                <c:pt idx="1089">
                  <c:v>0.76939000000000002</c:v>
                </c:pt>
                <c:pt idx="1090">
                  <c:v>0.98799999999999999</c:v>
                </c:pt>
                <c:pt idx="1091">
                  <c:v>0.73228000000000004</c:v>
                </c:pt>
                <c:pt idx="1092">
                  <c:v>1.22</c:v>
                </c:pt>
                <c:pt idx="1093">
                  <c:v>5.51</c:v>
                </c:pt>
                <c:pt idx="1094">
                  <c:v>4.26</c:v>
                </c:pt>
                <c:pt idx="1095">
                  <c:v>1.29</c:v>
                </c:pt>
                <c:pt idx="1096">
                  <c:v>0.75636000000000003</c:v>
                </c:pt>
                <c:pt idx="1097">
                  <c:v>0.88549</c:v>
                </c:pt>
                <c:pt idx="1098">
                  <c:v>0.84714999999999996</c:v>
                </c:pt>
                <c:pt idx="1099">
                  <c:v>0.83979000000000004</c:v>
                </c:pt>
                <c:pt idx="1100">
                  <c:v>0.99243999999999999</c:v>
                </c:pt>
                <c:pt idx="1101">
                  <c:v>1.41</c:v>
                </c:pt>
                <c:pt idx="1102">
                  <c:v>0.9698</c:v>
                </c:pt>
                <c:pt idx="1103">
                  <c:v>1.1000000000000001</c:v>
                </c:pt>
                <c:pt idx="1104">
                  <c:v>3.09</c:v>
                </c:pt>
                <c:pt idx="1105">
                  <c:v>1.4</c:v>
                </c:pt>
                <c:pt idx="1106">
                  <c:v>3.16</c:v>
                </c:pt>
                <c:pt idx="1107">
                  <c:v>2.2400000000000002</c:v>
                </c:pt>
                <c:pt idx="1108">
                  <c:v>1.22</c:v>
                </c:pt>
                <c:pt idx="1109">
                  <c:v>0.66759999999999997</c:v>
                </c:pt>
                <c:pt idx="1110">
                  <c:v>4.3499999999999996</c:v>
                </c:pt>
                <c:pt idx="1111">
                  <c:v>3.2</c:v>
                </c:pt>
                <c:pt idx="1112">
                  <c:v>1.97</c:v>
                </c:pt>
                <c:pt idx="1113">
                  <c:v>1.1000000000000001</c:v>
                </c:pt>
                <c:pt idx="1114">
                  <c:v>1.53</c:v>
                </c:pt>
                <c:pt idx="1115">
                  <c:v>1.01</c:v>
                </c:pt>
                <c:pt idx="1116">
                  <c:v>2.4900000000000002</c:v>
                </c:pt>
                <c:pt idx="1117">
                  <c:v>0.94488000000000005</c:v>
                </c:pt>
                <c:pt idx="1118">
                  <c:v>0.90341000000000005</c:v>
                </c:pt>
                <c:pt idx="1119">
                  <c:v>1.61</c:v>
                </c:pt>
                <c:pt idx="1120">
                  <c:v>1.03</c:v>
                </c:pt>
                <c:pt idx="1121">
                  <c:v>1.21</c:v>
                </c:pt>
                <c:pt idx="1122">
                  <c:v>1.37</c:v>
                </c:pt>
                <c:pt idx="1123">
                  <c:v>0.75275000000000003</c:v>
                </c:pt>
                <c:pt idx="1124">
                  <c:v>1.04</c:v>
                </c:pt>
                <c:pt idx="1125">
                  <c:v>0.97024999999999995</c:v>
                </c:pt>
                <c:pt idx="1126">
                  <c:v>1.55</c:v>
                </c:pt>
                <c:pt idx="1127">
                  <c:v>2.21</c:v>
                </c:pt>
                <c:pt idx="1128">
                  <c:v>1.17</c:v>
                </c:pt>
                <c:pt idx="1129">
                  <c:v>1.43</c:v>
                </c:pt>
                <c:pt idx="1130">
                  <c:v>1.88</c:v>
                </c:pt>
                <c:pt idx="1131">
                  <c:v>1.62</c:v>
                </c:pt>
                <c:pt idx="1132">
                  <c:v>0.88561000000000001</c:v>
                </c:pt>
                <c:pt idx="1133">
                  <c:v>2.4</c:v>
                </c:pt>
                <c:pt idx="1134">
                  <c:v>1.68</c:v>
                </c:pt>
                <c:pt idx="1135">
                  <c:v>1.48</c:v>
                </c:pt>
                <c:pt idx="1136">
                  <c:v>1.24</c:v>
                </c:pt>
                <c:pt idx="1137">
                  <c:v>0.81891999999999998</c:v>
                </c:pt>
                <c:pt idx="1138">
                  <c:v>1.29</c:v>
                </c:pt>
                <c:pt idx="1139">
                  <c:v>1.23</c:v>
                </c:pt>
                <c:pt idx="1140">
                  <c:v>1.26</c:v>
                </c:pt>
                <c:pt idx="1141">
                  <c:v>1.02</c:v>
                </c:pt>
                <c:pt idx="1142">
                  <c:v>1.1100000000000001</c:v>
                </c:pt>
                <c:pt idx="1143">
                  <c:v>1.46</c:v>
                </c:pt>
                <c:pt idx="1144">
                  <c:v>0.88107000000000002</c:v>
                </c:pt>
                <c:pt idx="1145">
                  <c:v>1.45</c:v>
                </c:pt>
                <c:pt idx="1146">
                  <c:v>2.0499999999999998</c:v>
                </c:pt>
                <c:pt idx="1147">
                  <c:v>1.01</c:v>
                </c:pt>
                <c:pt idx="1148">
                  <c:v>8.2019999999999996E-2</c:v>
                </c:pt>
                <c:pt idx="1149">
                  <c:v>3.39</c:v>
                </c:pt>
                <c:pt idx="1150">
                  <c:v>3.11</c:v>
                </c:pt>
                <c:pt idx="1151">
                  <c:v>2.13</c:v>
                </c:pt>
                <c:pt idx="1152">
                  <c:v>2.29</c:v>
                </c:pt>
                <c:pt idx="1153">
                  <c:v>1.87</c:v>
                </c:pt>
                <c:pt idx="1154">
                  <c:v>1.2</c:v>
                </c:pt>
                <c:pt idx="1155">
                  <c:v>1.4</c:v>
                </c:pt>
                <c:pt idx="1156">
                  <c:v>1.05</c:v>
                </c:pt>
                <c:pt idx="1157">
                  <c:v>1.25</c:v>
                </c:pt>
                <c:pt idx="1158">
                  <c:v>1.33</c:v>
                </c:pt>
                <c:pt idx="1159">
                  <c:v>0.81789999999999996</c:v>
                </c:pt>
                <c:pt idx="1160">
                  <c:v>0.78056000000000003</c:v>
                </c:pt>
                <c:pt idx="1161">
                  <c:v>1.42</c:v>
                </c:pt>
                <c:pt idx="1162">
                  <c:v>1.68</c:v>
                </c:pt>
                <c:pt idx="1163">
                  <c:v>1.26</c:v>
                </c:pt>
                <c:pt idx="1164">
                  <c:v>0.97597</c:v>
                </c:pt>
                <c:pt idx="1165">
                  <c:v>0.92003999999999997</c:v>
                </c:pt>
                <c:pt idx="1166">
                  <c:v>1.23</c:v>
                </c:pt>
                <c:pt idx="1167">
                  <c:v>1.47</c:v>
                </c:pt>
                <c:pt idx="1168">
                  <c:v>1.4</c:v>
                </c:pt>
                <c:pt idx="1169">
                  <c:v>1.84</c:v>
                </c:pt>
                <c:pt idx="1170">
                  <c:v>4.09</c:v>
                </c:pt>
                <c:pt idx="1171">
                  <c:v>1.24</c:v>
                </c:pt>
                <c:pt idx="1172">
                  <c:v>1.24</c:v>
                </c:pt>
                <c:pt idx="1173">
                  <c:v>1.87</c:v>
                </c:pt>
                <c:pt idx="1174">
                  <c:v>0.97323000000000004</c:v>
                </c:pt>
                <c:pt idx="1175">
                  <c:v>1.92</c:v>
                </c:pt>
                <c:pt idx="1176">
                  <c:v>2.1800000000000002</c:v>
                </c:pt>
                <c:pt idx="1177">
                  <c:v>3.54</c:v>
                </c:pt>
                <c:pt idx="1178">
                  <c:v>2.59</c:v>
                </c:pt>
                <c:pt idx="1179">
                  <c:v>4.01</c:v>
                </c:pt>
                <c:pt idx="1180">
                  <c:v>1.9</c:v>
                </c:pt>
                <c:pt idx="1181">
                  <c:v>1.47</c:v>
                </c:pt>
                <c:pt idx="1182">
                  <c:v>2.86</c:v>
                </c:pt>
                <c:pt idx="1183">
                  <c:v>1.1100000000000001</c:v>
                </c:pt>
                <c:pt idx="1184">
                  <c:v>3.2</c:v>
                </c:pt>
                <c:pt idx="1185">
                  <c:v>1.27</c:v>
                </c:pt>
                <c:pt idx="1186">
                  <c:v>1.26</c:v>
                </c:pt>
                <c:pt idx="1187">
                  <c:v>0.80810000000000004</c:v>
                </c:pt>
                <c:pt idx="1188">
                  <c:v>1.06</c:v>
                </c:pt>
                <c:pt idx="1189">
                  <c:v>1.24</c:v>
                </c:pt>
                <c:pt idx="1190">
                  <c:v>0.79076999999999997</c:v>
                </c:pt>
                <c:pt idx="1191">
                  <c:v>1.1299999999999999</c:v>
                </c:pt>
                <c:pt idx="1192">
                  <c:v>0.51937999999999995</c:v>
                </c:pt>
                <c:pt idx="1193">
                  <c:v>0.53363000000000005</c:v>
                </c:pt>
                <c:pt idx="1194">
                  <c:v>1.0900000000000001</c:v>
                </c:pt>
                <c:pt idx="1195">
                  <c:v>1.56</c:v>
                </c:pt>
                <c:pt idx="1196">
                  <c:v>1.32</c:v>
                </c:pt>
                <c:pt idx="1197">
                  <c:v>0.75887000000000004</c:v>
                </c:pt>
                <c:pt idx="1198">
                  <c:v>0.97341</c:v>
                </c:pt>
                <c:pt idx="1199">
                  <c:v>1.34</c:v>
                </c:pt>
                <c:pt idx="1200">
                  <c:v>1.58</c:v>
                </c:pt>
                <c:pt idx="1201">
                  <c:v>0.89268999999999998</c:v>
                </c:pt>
                <c:pt idx="1202">
                  <c:v>1.1599999999999999</c:v>
                </c:pt>
                <c:pt idx="1203">
                  <c:v>1.19</c:v>
                </c:pt>
                <c:pt idx="1204">
                  <c:v>1.06</c:v>
                </c:pt>
                <c:pt idx="1205">
                  <c:v>1.52</c:v>
                </c:pt>
                <c:pt idx="1206">
                  <c:v>1.03</c:v>
                </c:pt>
                <c:pt idx="1207">
                  <c:v>1.37</c:v>
                </c:pt>
                <c:pt idx="1208">
                  <c:v>1.51</c:v>
                </c:pt>
                <c:pt idx="1209">
                  <c:v>1.46</c:v>
                </c:pt>
                <c:pt idx="1210">
                  <c:v>1.02</c:v>
                </c:pt>
                <c:pt idx="1211">
                  <c:v>1.75</c:v>
                </c:pt>
                <c:pt idx="1212">
                  <c:v>1.38</c:v>
                </c:pt>
                <c:pt idx="1213">
                  <c:v>2.06</c:v>
                </c:pt>
                <c:pt idx="1214">
                  <c:v>1.8</c:v>
                </c:pt>
                <c:pt idx="1215">
                  <c:v>1.48</c:v>
                </c:pt>
                <c:pt idx="1216">
                  <c:v>2.09</c:v>
                </c:pt>
                <c:pt idx="1217">
                  <c:v>0.78037999999999996</c:v>
                </c:pt>
                <c:pt idx="1218">
                  <c:v>1.38</c:v>
                </c:pt>
                <c:pt idx="1219">
                  <c:v>1.55</c:v>
                </c:pt>
                <c:pt idx="1220">
                  <c:v>1.23</c:v>
                </c:pt>
                <c:pt idx="1221">
                  <c:v>1.96</c:v>
                </c:pt>
                <c:pt idx="1222">
                  <c:v>1.42</c:v>
                </c:pt>
                <c:pt idx="1223">
                  <c:v>0.95848</c:v>
                </c:pt>
                <c:pt idx="1224">
                  <c:v>0.79252999999999996</c:v>
                </c:pt>
                <c:pt idx="1225">
                  <c:v>1.1399999999999999</c:v>
                </c:pt>
                <c:pt idx="1226">
                  <c:v>4.66</c:v>
                </c:pt>
                <c:pt idx="1227">
                  <c:v>2.79</c:v>
                </c:pt>
                <c:pt idx="1228">
                  <c:v>2.04</c:v>
                </c:pt>
                <c:pt idx="1229">
                  <c:v>1.23</c:v>
                </c:pt>
                <c:pt idx="1230">
                  <c:v>0.83079000000000003</c:v>
                </c:pt>
                <c:pt idx="1231">
                  <c:v>0.94018000000000002</c:v>
                </c:pt>
                <c:pt idx="1232">
                  <c:v>1.72</c:v>
                </c:pt>
                <c:pt idx="1233">
                  <c:v>1.3</c:v>
                </c:pt>
                <c:pt idx="1234">
                  <c:v>1.54</c:v>
                </c:pt>
                <c:pt idx="1235">
                  <c:v>1.1599999999999999</c:v>
                </c:pt>
                <c:pt idx="1236">
                  <c:v>1.47</c:v>
                </c:pt>
                <c:pt idx="1237">
                  <c:v>3.05</c:v>
                </c:pt>
                <c:pt idx="1238">
                  <c:v>2.27</c:v>
                </c:pt>
                <c:pt idx="1239">
                  <c:v>2.65</c:v>
                </c:pt>
              </c:numCache>
            </c:numRef>
          </c:val>
        </c:ser>
        <c:axId val="144784768"/>
        <c:axId val="145282176"/>
      </c:areaChart>
      <c:dateAx>
        <c:axId val="144784768"/>
        <c:scaling>
          <c:orientation val="minMax"/>
        </c:scaling>
        <c:axPos val="b"/>
        <c:numFmt formatCode="yyyy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145282176"/>
        <c:crosses val="autoZero"/>
        <c:auto val="1"/>
        <c:lblOffset val="100"/>
        <c:majorUnit val="6"/>
        <c:majorTimeUnit val="months"/>
      </c:dateAx>
      <c:valAx>
        <c:axId val="145282176"/>
        <c:scaling>
          <c:orientation val="minMax"/>
          <c:max val="12"/>
          <c:min val="0"/>
        </c:scaling>
        <c:axPos val="l"/>
        <c:numFmt formatCode="0.00&quot;M&quot;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144784768"/>
        <c:crosses val="autoZero"/>
        <c:crossBetween val="midCat"/>
      </c:valAx>
      <c:spPr>
        <a:noFill/>
        <a:ln w="25400">
          <a:noFill/>
        </a:ln>
      </c:spPr>
    </c:plotArea>
    <c:plotVisOnly val="1"/>
  </c:chart>
  <c:spPr>
    <a:noFill/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chart>
    <c:autoTitleDeleted val="1"/>
    <c:plotArea>
      <c:layout/>
      <c:barChart>
        <c:barDir val="bar"/>
        <c:grouping val="clustered"/>
        <c:ser>
          <c:idx val="0"/>
          <c:order val="0"/>
          <c:spPr>
            <a:solidFill>
              <a:srgbClr val="002060"/>
            </a:solidFill>
          </c:spPr>
          <c:dPt>
            <c:idx val="1"/>
            <c:spPr>
              <a:solidFill>
                <a:schemeClr val="accent5">
                  <a:lumMod val="60000"/>
                  <a:lumOff val="40000"/>
                </a:schemeClr>
              </a:solidFill>
            </c:spPr>
          </c:dPt>
          <c:dPt>
            <c:idx val="2"/>
            <c:spPr>
              <a:solidFill>
                <a:schemeClr val="accent1">
                  <a:lumMod val="75000"/>
                </a:schemeClr>
              </a:solidFill>
            </c:spPr>
          </c:dPt>
          <c:dPt>
            <c:idx val="3"/>
            <c:spPr>
              <a:solidFill>
                <a:schemeClr val="accent1">
                  <a:lumMod val="40000"/>
                  <a:lumOff val="60000"/>
                </a:schemeClr>
              </a:solidFill>
            </c:spPr>
          </c:dPt>
          <c:dLbls>
            <c:dLblPos val="inEnd"/>
            <c:showVal val="1"/>
          </c:dLbls>
          <c:cat>
            <c:strRef>
              <c:f>'Raw Data'!$G$1171:$G$1174</c:f>
              <c:strCache>
                <c:ptCount val="4"/>
                <c:pt idx="0">
                  <c:v>Promoter</c:v>
                </c:pt>
                <c:pt idx="1">
                  <c:v>FII</c:v>
                </c:pt>
                <c:pt idx="2">
                  <c:v>DII</c:v>
                </c:pt>
                <c:pt idx="3">
                  <c:v>Public &amp; Government</c:v>
                </c:pt>
              </c:strCache>
            </c:strRef>
          </c:cat>
          <c:val>
            <c:numRef>
              <c:f>'Raw Data'!$H$1171:$H$1174</c:f>
              <c:numCache>
                <c:formatCode>0.00%</c:formatCode>
                <c:ptCount val="4"/>
                <c:pt idx="0">
                  <c:v>0.61899999999999999</c:v>
                </c:pt>
                <c:pt idx="1">
                  <c:v>0.1071</c:v>
                </c:pt>
                <c:pt idx="2">
                  <c:v>0.15679999999999999</c:v>
                </c:pt>
                <c:pt idx="3">
                  <c:v>0.11710000000000001</c:v>
                </c:pt>
              </c:numCache>
            </c:numRef>
          </c:val>
        </c:ser>
        <c:gapWidth val="75"/>
        <c:overlap val="40"/>
        <c:axId val="144979456"/>
        <c:axId val="144980992"/>
      </c:barChart>
      <c:catAx>
        <c:axId val="144979456"/>
        <c:scaling>
          <c:orientation val="minMax"/>
        </c:scaling>
        <c:axPos val="l"/>
        <c:majorTickMark val="none"/>
        <c:tickLblPos val="nextTo"/>
        <c:crossAx val="144980992"/>
        <c:crosses val="autoZero"/>
        <c:auto val="1"/>
        <c:lblAlgn val="ctr"/>
        <c:lblOffset val="100"/>
      </c:catAx>
      <c:valAx>
        <c:axId val="144980992"/>
        <c:scaling>
          <c:orientation val="minMax"/>
        </c:scaling>
        <c:axPos val="b"/>
        <c:numFmt formatCode="0.00%" sourceLinked="1"/>
        <c:majorTickMark val="none"/>
        <c:tickLblPos val="nextTo"/>
        <c:crossAx val="144979456"/>
        <c:crosses val="autoZero"/>
        <c:crossBetween val="between"/>
      </c:valAx>
      <c:spPr>
        <a:noFill/>
        <a:ln w="25400">
          <a:noFill/>
        </a:ln>
      </c:spPr>
    </c:plotArea>
    <c:plotVisOnly val="1"/>
  </c:chart>
  <c:spPr>
    <a:ln>
      <a:noFill/>
    </a:ln>
  </c:spPr>
  <c:txPr>
    <a:bodyPr/>
    <a:lstStyle/>
    <a:p>
      <a:pPr>
        <a:defRPr sz="500" baseline="0"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76201</xdr:colOff>
      <xdr:row>2</xdr:row>
      <xdr:rowOff>76201</xdr:rowOff>
    </xdr:from>
    <xdr:to>
      <xdr:col>1</xdr:col>
      <xdr:colOff>1416050</xdr:colOff>
      <xdr:row>3</xdr:row>
      <xdr:rowOff>881573</xdr:rowOff>
    </xdr:to>
    <xdr:pic>
      <xdr:nvPicPr>
        <xdr:cNvPr id="8" name="Picture 7" descr="fa4049b3ab3d0c6c429f0dd04f184ca3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7601" t="9573" r="7692" b="11126"/>
        <a:stretch>
          <a:fillRect/>
        </a:stretch>
      </xdr:blipFill>
      <xdr:spPr>
        <a:xfrm>
          <a:off x="203201" y="444501"/>
          <a:ext cx="1339849" cy="88792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9</xdr:col>
      <xdr:colOff>18936</xdr:colOff>
      <xdr:row>20</xdr:row>
      <xdr:rowOff>12700</xdr:rowOff>
    </xdr:to>
    <xdr:sp macro="" textlink="">
      <xdr:nvSpPr>
        <xdr:cNvPr id="1025" name="AutoShape 1" descr="Hindustan Unilever | Logopedia | Fandom powered by Wikia"/>
        <xdr:cNvSpPr>
          <a:spLocks noChangeAspect="1" noChangeArrowheads="1"/>
        </xdr:cNvSpPr>
      </xdr:nvSpPr>
      <xdr:spPr bwMode="auto">
        <a:xfrm>
          <a:off x="5321300" y="2127250"/>
          <a:ext cx="1962150" cy="196215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1244600</xdr:colOff>
      <xdr:row>5</xdr:row>
      <xdr:rowOff>114300</xdr:rowOff>
    </xdr:to>
    <xdr:sp macro="" textlink="">
      <xdr:nvSpPr>
        <xdr:cNvPr id="1027" name="AutoShape 3" descr="Pulverizer Sytems| Grinding &amp; Milling Machine Manufacturers &amp; Supplier ..."/>
        <xdr:cNvSpPr>
          <a:spLocks noChangeAspect="1" noChangeArrowheads="1"/>
        </xdr:cNvSpPr>
      </xdr:nvSpPr>
      <xdr:spPr bwMode="auto">
        <a:xfrm>
          <a:off x="127000" y="368300"/>
          <a:ext cx="1244600" cy="1244600"/>
        </a:xfrm>
        <a:prstGeom prst="rect">
          <a:avLst/>
        </a:prstGeom>
        <a:noFill/>
      </xdr:spPr>
    </xdr:sp>
    <xdr:clientData/>
  </xdr:twoCellAnchor>
  <xdr:twoCellAnchor>
    <xdr:from>
      <xdr:col>2</xdr:col>
      <xdr:colOff>341795</xdr:colOff>
      <xdr:row>1194</xdr:row>
      <xdr:rowOff>71783</xdr:rowOff>
    </xdr:from>
    <xdr:to>
      <xdr:col>10</xdr:col>
      <xdr:colOff>5245</xdr:colOff>
      <xdr:row>1209</xdr:row>
      <xdr:rowOff>53837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50800</xdr:colOff>
      <xdr:row>7</xdr:row>
      <xdr:rowOff>19050</xdr:rowOff>
    </xdr:from>
    <xdr:to>
      <xdr:col>10</xdr:col>
      <xdr:colOff>660400</xdr:colOff>
      <xdr:row>16</xdr:row>
      <xdr:rowOff>91109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209550</xdr:colOff>
      <xdr:row>20</xdr:row>
      <xdr:rowOff>64880</xdr:rowOff>
    </xdr:from>
    <xdr:to>
      <xdr:col>11</xdr:col>
      <xdr:colOff>38653</xdr:colOff>
      <xdr:row>25</xdr:row>
      <xdr:rowOff>165100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149087</xdr:colOff>
      <xdr:row>28</xdr:row>
      <xdr:rowOff>101600</xdr:rowOff>
    </xdr:from>
    <xdr:to>
      <xdr:col>11</xdr:col>
      <xdr:colOff>6350</xdr:colOff>
      <xdr:row>37</xdr:row>
      <xdr:rowOff>44823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386521</xdr:colOff>
      <xdr:row>1225</xdr:row>
      <xdr:rowOff>77305</xdr:rowOff>
    </xdr:from>
    <xdr:to>
      <xdr:col>9</xdr:col>
      <xdr:colOff>281609</xdr:colOff>
      <xdr:row>1236</xdr:row>
      <xdr:rowOff>82826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618435</xdr:colOff>
      <xdr:row>1169</xdr:row>
      <xdr:rowOff>110436</xdr:rowOff>
    </xdr:from>
    <xdr:to>
      <xdr:col>13</xdr:col>
      <xdr:colOff>237435</xdr:colOff>
      <xdr:row>1179</xdr:row>
      <xdr:rowOff>27610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nbctv18.com/market/stocks/hindustan-unilever-ltd-share-price/H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creener.in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screener.i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9"/>
  <sheetViews>
    <sheetView showGridLines="0" tabSelected="1" zoomScale="85" zoomScaleNormal="85" workbookViewId="0">
      <selection activeCell="I45" sqref="I45"/>
    </sheetView>
  </sheetViews>
  <sheetFormatPr defaultRowHeight="14.5"/>
  <cols>
    <col min="1" max="1" width="1.81640625" style="97" customWidth="1"/>
    <col min="2" max="2" width="35.7265625" style="97" customWidth="1"/>
    <col min="3" max="3" width="16.08984375" style="97" customWidth="1"/>
    <col min="4" max="4" width="11.08984375" style="97" customWidth="1"/>
    <col min="5" max="5" width="12.1796875" style="97" bestFit="1" customWidth="1"/>
    <col min="6" max="6" width="9.453125" style="97" customWidth="1"/>
    <col min="7" max="7" width="10.6328125" style="97" customWidth="1"/>
    <col min="8" max="8" width="1.26953125" style="97" customWidth="1"/>
    <col min="9" max="9" width="16" style="97" customWidth="1"/>
    <col min="10" max="10" width="8.7265625" style="97"/>
    <col min="11" max="11" width="10.36328125" style="97" customWidth="1"/>
    <col min="12" max="12" width="0.7265625" style="97" customWidth="1"/>
    <col min="13" max="16384" width="8.7265625" style="97"/>
  </cols>
  <sheetData>
    <row r="1" spans="1:12">
      <c r="A1"/>
      <c r="B1"/>
      <c r="C1"/>
      <c r="D1"/>
      <c r="E1"/>
      <c r="F1"/>
      <c r="G1"/>
      <c r="H1"/>
      <c r="I1"/>
      <c r="J1"/>
      <c r="K1"/>
      <c r="L1" s="34"/>
    </row>
    <row r="2" spans="1:12" ht="18.5">
      <c r="A2"/>
      <c r="B2" s="91" t="str">
        <f>'Data Sheet'!B1&amp;" - "&amp;" One Page Profile"</f>
        <v>HINDUSTAN UNILEVER LTD -  One Page Profile</v>
      </c>
      <c r="C2" s="91"/>
      <c r="D2" s="91"/>
      <c r="E2" s="91"/>
      <c r="F2" s="91"/>
      <c r="G2" s="91"/>
      <c r="H2" s="91"/>
      <c r="I2" s="91"/>
      <c r="J2" s="91"/>
      <c r="K2" s="91"/>
      <c r="L2" s="34"/>
    </row>
    <row r="3" spans="1:12" ht="6.5" customHeight="1">
      <c r="A3" s="34"/>
      <c r="B3" s="33"/>
      <c r="C3" s="33"/>
      <c r="D3" s="33"/>
      <c r="E3" s="33"/>
      <c r="F3" s="33"/>
      <c r="G3" s="33"/>
      <c r="H3" s="33"/>
      <c r="I3" s="33"/>
      <c r="J3" s="33"/>
      <c r="K3" s="33"/>
      <c r="L3" s="34"/>
    </row>
    <row r="4" spans="1:12" ht="74.5" customHeight="1">
      <c r="A4"/>
      <c r="B4" s="35"/>
      <c r="C4" s="92" t="str">
        <f>'Input Sheet'!C4</f>
        <v xml:space="preserve">Hindustan Unilever Limited (HUL) is an Indian fast-moving consumer goods company, headquartered in Mumbai. It is a subsidiary of the Anglo-Dutch company Unilever. Its products include foods, beverages, cleaning agents, personal care products and other consumer staples.
</v>
      </c>
      <c r="D4" s="92"/>
      <c r="E4" s="92"/>
      <c r="F4" s="92"/>
      <c r="G4" s="92"/>
      <c r="H4" s="92"/>
      <c r="I4" s="92"/>
      <c r="J4" s="92"/>
      <c r="K4" s="92"/>
      <c r="L4" s="34"/>
    </row>
    <row r="5" spans="1:12">
      <c r="A5"/>
      <c r="B5" t="s">
        <v>85</v>
      </c>
      <c r="C5"/>
      <c r="D5"/>
      <c r="E5"/>
      <c r="F5"/>
      <c r="G5" s="28"/>
      <c r="H5"/>
      <c r="I5"/>
      <c r="J5"/>
      <c r="K5"/>
      <c r="L5" s="34"/>
    </row>
    <row r="6" spans="1:12" ht="15.5">
      <c r="A6"/>
      <c r="B6" s="36" t="s">
        <v>83</v>
      </c>
      <c r="C6" s="37">
        <f>'Data Sheet'!G16</f>
        <v>44286</v>
      </c>
      <c r="D6" s="37">
        <f>'Data Sheet'!H16</f>
        <v>44651</v>
      </c>
      <c r="E6" s="37">
        <f>'Data Sheet'!I16</f>
        <v>45016</v>
      </c>
      <c r="F6" s="37">
        <f>'Data Sheet'!J16</f>
        <v>45382</v>
      </c>
      <c r="G6" s="37">
        <f>'Data Sheet'!K16</f>
        <v>45747</v>
      </c>
      <c r="H6"/>
      <c r="I6" s="93" t="s">
        <v>105</v>
      </c>
      <c r="J6" s="93"/>
      <c r="K6" s="93"/>
      <c r="L6" s="34"/>
    </row>
    <row r="7" spans="1:12" ht="3" customHeight="1">
      <c r="A7"/>
      <c r="B7"/>
      <c r="C7"/>
      <c r="D7"/>
      <c r="E7"/>
      <c r="F7"/>
      <c r="G7"/>
      <c r="H7"/>
      <c r="I7"/>
      <c r="J7"/>
      <c r="K7"/>
      <c r="L7" s="34"/>
    </row>
    <row r="8" spans="1:12">
      <c r="A8"/>
      <c r="B8" s="61" t="s">
        <v>84</v>
      </c>
      <c r="C8" s="62">
        <f>'Data Sheet'!G17</f>
        <v>47028</v>
      </c>
      <c r="D8" s="62">
        <f>'Data Sheet'!H17</f>
        <v>52446</v>
      </c>
      <c r="E8" s="62">
        <f>'Data Sheet'!I17</f>
        <v>60580</v>
      </c>
      <c r="F8" s="62">
        <f>'Data Sheet'!J17</f>
        <v>61896</v>
      </c>
      <c r="G8" s="62">
        <f>'Data Sheet'!K17</f>
        <v>63121</v>
      </c>
      <c r="H8"/>
      <c r="I8"/>
      <c r="J8"/>
      <c r="K8"/>
      <c r="L8" s="34"/>
    </row>
    <row r="9" spans="1:12">
      <c r="A9"/>
      <c r="B9" s="63" t="s">
        <v>86</v>
      </c>
      <c r="C9" s="64">
        <f>'Profit &amp; Loss'!G27</f>
        <v>0.18211296282331646</v>
      </c>
      <c r="D9" s="64">
        <f>'Profit &amp; Loss'!H27</f>
        <v>0.11520796121459553</v>
      </c>
      <c r="E9" s="64">
        <f>'Profit &amp; Loss'!I27</f>
        <v>0.15509285741524614</v>
      </c>
      <c r="F9" s="64">
        <f>'Profit &amp; Loss'!J27</f>
        <v>2.1723341036645749E-2</v>
      </c>
      <c r="G9" s="64">
        <f>'Profit &amp; Loss'!K27</f>
        <v>1.9791262763344974E-2</v>
      </c>
      <c r="H9" s="39"/>
      <c r="I9"/>
      <c r="J9"/>
      <c r="K9"/>
      <c r="L9" s="34"/>
    </row>
    <row r="10" spans="1:12">
      <c r="A10"/>
      <c r="B10" s="65" t="s">
        <v>90</v>
      </c>
      <c r="C10" s="66">
        <f>'Profit &amp; Loss'!G30</f>
        <v>0.49491792123841116</v>
      </c>
      <c r="D10" s="66">
        <f>'Profit &amp; Loss'!H30</f>
        <v>0.49347900697860658</v>
      </c>
      <c r="E10" s="66">
        <f>'Profit &amp; Loss'!I30</f>
        <v>0.46059755694948828</v>
      </c>
      <c r="F10" s="66">
        <f>'Profit &amp; Loss'!J30</f>
        <v>0.50458834173452238</v>
      </c>
      <c r="G10" s="66">
        <f>'Profit &amp; Loss'!K30</f>
        <v>0.49687108886107634</v>
      </c>
      <c r="H10" s="39"/>
      <c r="I10"/>
      <c r="J10"/>
      <c r="K10"/>
      <c r="L10" s="34"/>
    </row>
    <row r="11" spans="1:12">
      <c r="A11"/>
      <c r="B11" s="61" t="s">
        <v>92</v>
      </c>
      <c r="C11" s="67">
        <f>'Profit &amp; Loss'!G31</f>
        <v>0.24721442544866887</v>
      </c>
      <c r="D11" s="67">
        <f>'Profit &amp; Loss'!H31</f>
        <v>0.24514738969606834</v>
      </c>
      <c r="E11" s="67">
        <f>'Profit &amp; Loss'!I31</f>
        <v>0.23352591614394189</v>
      </c>
      <c r="F11" s="67">
        <f>'Profit &amp; Loss'!J31</f>
        <v>0.23683275171255008</v>
      </c>
      <c r="G11" s="67">
        <f>'Profit &amp; Loss'!K31</f>
        <v>0.23515153435465216</v>
      </c>
      <c r="H11" s="39"/>
      <c r="I11"/>
      <c r="J11"/>
      <c r="K11"/>
      <c r="L11" s="34"/>
    </row>
    <row r="12" spans="1:12">
      <c r="A12"/>
      <c r="B12" s="61" t="s">
        <v>93</v>
      </c>
      <c r="C12" s="67">
        <f>'Profit &amp; Loss'!G33</f>
        <v>0.22437696691332823</v>
      </c>
      <c r="D12" s="67">
        <f>'Profit &amp; Loss'!H33</f>
        <v>0.22434504061320215</v>
      </c>
      <c r="E12" s="67">
        <f>'Profit &amp; Loss'!I33</f>
        <v>0.21475734565863322</v>
      </c>
      <c r="F12" s="67">
        <f>'Profit &amp; Loss'!J33</f>
        <v>0.21718689414501746</v>
      </c>
      <c r="G12" s="67">
        <f>'Profit &amp; Loss'!K33</f>
        <v>0.21368482755342913</v>
      </c>
      <c r="H12" s="39"/>
      <c r="I12"/>
      <c r="J12"/>
      <c r="K12"/>
      <c r="L12" s="34"/>
    </row>
    <row r="13" spans="1:12">
      <c r="A13"/>
      <c r="B13" s="61" t="s">
        <v>96</v>
      </c>
      <c r="C13" s="67">
        <f>'Profit &amp; Loss'!G32</f>
        <v>0.17000510334268945</v>
      </c>
      <c r="D13" s="67">
        <f>'Profit &amp; Loss'!H32</f>
        <v>0.16929794455249209</v>
      </c>
      <c r="E13" s="67">
        <f>'Profit &amp; Loss'!I32</f>
        <v>0.16705183228788378</v>
      </c>
      <c r="F13" s="67">
        <f>'Profit &amp; Loss'!J32</f>
        <v>0.16603657748481324</v>
      </c>
      <c r="G13" s="67">
        <f>'Profit &amp; Loss'!K32</f>
        <v>0.16870772009315441</v>
      </c>
      <c r="H13" s="39"/>
      <c r="I13"/>
      <c r="J13"/>
      <c r="K13"/>
      <c r="L13" s="34"/>
    </row>
    <row r="14" spans="1:12">
      <c r="A14"/>
      <c r="B14" s="61" t="s">
        <v>97</v>
      </c>
      <c r="C14" s="68">
        <f>'Profit &amp; Loss'!G13</f>
        <v>34.027068437180795</v>
      </c>
      <c r="D14" s="68">
        <f>'Profit &amp; Loss'!H13</f>
        <v>37.789410963568265</v>
      </c>
      <c r="E14" s="68">
        <f>'Profit &amp; Loss'!I13</f>
        <v>43.071161048689135</v>
      </c>
      <c r="F14" s="68">
        <f>'Profit &amp; Loss'!J13</f>
        <v>43.739359891045282</v>
      </c>
      <c r="G14" s="68">
        <f>'Profit &amp; Loss'!K13</f>
        <v>45.32260810350698</v>
      </c>
      <c r="H14" s="41"/>
      <c r="I14"/>
      <c r="J14"/>
      <c r="K14"/>
      <c r="L14" s="34"/>
    </row>
    <row r="15" spans="1:12">
      <c r="A15"/>
      <c r="B15" s="63" t="s">
        <v>98</v>
      </c>
      <c r="C15" s="64">
        <f>'Profit &amp; Loss'!G34</f>
        <v>9.1609332436410451E-2</v>
      </c>
      <c r="D15" s="64">
        <f>'Profit &amp; Loss'!H34</f>
        <v>0.11056910569105693</v>
      </c>
      <c r="E15" s="64">
        <f>'Profit &amp; Loss'!I34</f>
        <v>0.13976799189097866</v>
      </c>
      <c r="F15" s="64">
        <f>'Profit &amp; Loss'!J34</f>
        <v>1.5513833992094828E-2</v>
      </c>
      <c r="G15" s="64">
        <f>'Profit &amp; Loss'!K34</f>
        <v>3.6197333852291624E-2</v>
      </c>
      <c r="H15" s="39"/>
      <c r="I15"/>
      <c r="J15"/>
      <c r="K15"/>
      <c r="L15" s="34"/>
    </row>
    <row r="16" spans="1:12">
      <c r="A16"/>
      <c r="B16" s="61" t="s">
        <v>102</v>
      </c>
      <c r="C16" s="68">
        <f>'Profit &amp; Loss'!G35</f>
        <v>40.506894790602651</v>
      </c>
      <c r="D16" s="68">
        <f>'Profit &amp; Loss'!H35</f>
        <v>34.005788219271366</v>
      </c>
      <c r="E16" s="68">
        <f>'Profit &amp; Loss'!I35</f>
        <v>39.006639427987743</v>
      </c>
      <c r="F16" s="68">
        <f>'Profit &amp; Loss'!J35</f>
        <v>42.007150153217566</v>
      </c>
      <c r="G16" s="68">
        <f>'Profit &amp; Loss'!K35</f>
        <v>53.009022812393603</v>
      </c>
      <c r="H16" s="41"/>
      <c r="I16"/>
      <c r="J16"/>
      <c r="K16"/>
      <c r="L16" s="34"/>
    </row>
    <row r="17" spans="1:12">
      <c r="A17"/>
      <c r="B17" s="63" t="s">
        <v>103</v>
      </c>
      <c r="C17" s="64">
        <f>'Profit &amp; Loss'!G36</f>
        <v>0.62387640449438186</v>
      </c>
      <c r="D17" s="64">
        <f>'Profit &amp; Loss'!H36</f>
        <v>-0.16049382716049365</v>
      </c>
      <c r="E17" s="64">
        <f>'Profit &amp; Loss'!I36</f>
        <v>0.14705882352941169</v>
      </c>
      <c r="F17" s="64">
        <f>'Profit &amp; Loss'!J36</f>
        <v>7.6923076923076872E-2</v>
      </c>
      <c r="G17" s="64">
        <f>'Profit &amp; Loss'!K36</f>
        <v>0.26190476190476208</v>
      </c>
      <c r="H17" s="39"/>
      <c r="I17"/>
      <c r="J17"/>
      <c r="K17"/>
      <c r="L17" s="34"/>
    </row>
    <row r="18" spans="1:12" ht="4.5" customHeight="1">
      <c r="A18"/>
      <c r="B18"/>
      <c r="C18"/>
      <c r="D18"/>
      <c r="E18"/>
      <c r="F18"/>
      <c r="G18"/>
      <c r="H18"/>
      <c r="I18"/>
      <c r="J18"/>
      <c r="K18"/>
      <c r="L18" s="34"/>
    </row>
    <row r="19" spans="1:12" ht="15.5">
      <c r="A19"/>
      <c r="B19" s="36" t="s">
        <v>114</v>
      </c>
      <c r="C19" s="37">
        <f>C6</f>
        <v>44286</v>
      </c>
      <c r="D19" s="37">
        <f>C19+365</f>
        <v>44651</v>
      </c>
      <c r="E19" s="37">
        <f t="shared" ref="E19:G19" si="0">D19+365</f>
        <v>45016</v>
      </c>
      <c r="F19" s="37">
        <f t="shared" si="0"/>
        <v>45381</v>
      </c>
      <c r="G19" s="37">
        <f t="shared" si="0"/>
        <v>45746</v>
      </c>
      <c r="H19"/>
      <c r="I19" s="93" t="s">
        <v>120</v>
      </c>
      <c r="J19" s="93"/>
      <c r="K19" s="93"/>
      <c r="L19" s="34"/>
    </row>
    <row r="20" spans="1:12" ht="3" customHeight="1">
      <c r="A20"/>
      <c r="B20"/>
      <c r="C20"/>
      <c r="D20"/>
      <c r="E20"/>
      <c r="F20"/>
      <c r="G20"/>
      <c r="H20"/>
      <c r="I20"/>
      <c r="J20"/>
      <c r="K20"/>
      <c r="L20" s="34"/>
    </row>
    <row r="21" spans="1:12">
      <c r="A21"/>
      <c r="B21" s="61" t="s">
        <v>115</v>
      </c>
      <c r="C21" s="69">
        <f>'Profit &amp; Loss'!G14</f>
        <v>68.390258311444654</v>
      </c>
      <c r="D21" s="69">
        <f>'Profit &amp; Loss'!H14</f>
        <v>51.88490505687578</v>
      </c>
      <c r="E21" s="69">
        <f>'Profit &amp; Loss'!I14</f>
        <v>56.892824347826092</v>
      </c>
      <c r="F21" s="69">
        <f>'Profit &amp; Loss'!J14</f>
        <v>49.546678447017612</v>
      </c>
      <c r="G21" s="69">
        <f>'Profit &amp; Loss'!K14</f>
        <v>47.699814517795097</v>
      </c>
      <c r="H21" s="41"/>
      <c r="I21"/>
      <c r="J21"/>
      <c r="K21"/>
      <c r="L21" s="34"/>
    </row>
    <row r="22" spans="1:12">
      <c r="A22"/>
      <c r="B22" s="61" t="s">
        <v>116</v>
      </c>
      <c r="C22" s="69">
        <f>'Profit &amp; Loss'!G43</f>
        <v>46.646233889557891</v>
      </c>
      <c r="D22" s="69">
        <f>'Profit &amp; Loss'!H43</f>
        <v>35.613523528039202</v>
      </c>
      <c r="E22" s="69">
        <f>'Profit &amp; Loss'!I43</f>
        <v>40.453550745741147</v>
      </c>
      <c r="F22" s="69">
        <f>'Profit &amp; Loss'!J43</f>
        <v>34.321318943993454</v>
      </c>
      <c r="G22" s="69">
        <f>'Profit &amp; Loss'!K43</f>
        <v>33.823979303375332</v>
      </c>
      <c r="H22" s="41"/>
      <c r="I22"/>
      <c r="J22"/>
      <c r="K22"/>
      <c r="L22" s="34"/>
    </row>
    <row r="23" spans="1:12">
      <c r="A23"/>
      <c r="B23" s="61" t="s">
        <v>111</v>
      </c>
      <c r="C23" s="69">
        <f>'Profit &amp; Loss'!G44</f>
        <v>11.53162191035128</v>
      </c>
      <c r="D23" s="69">
        <f>'Profit &amp; Loss'!H44</f>
        <v>8.7305623307783247</v>
      </c>
      <c r="E23" s="69">
        <f>'Profit &amp; Loss'!I44</f>
        <v>9.4469524991746443</v>
      </c>
      <c r="F23" s="69">
        <f>'Profit &amp; Loss'!J44</f>
        <v>8.1284124079100426</v>
      </c>
      <c r="G23" s="69">
        <f>'Profit &amp; Loss'!K44</f>
        <v>7.9537606311687084</v>
      </c>
      <c r="H23" s="41"/>
      <c r="I23"/>
      <c r="J23"/>
      <c r="K23"/>
      <c r="L23" s="34"/>
    </row>
    <row r="24" spans="1:12">
      <c r="A24"/>
      <c r="B24" s="61" t="s">
        <v>117</v>
      </c>
      <c r="C24" s="69">
        <f>'Profit &amp; Loss'!G46</f>
        <v>11.469147023534841</v>
      </c>
      <c r="D24" s="69">
        <f>'Profit &amp; Loss'!H46</f>
        <v>9.3900668963127547</v>
      </c>
      <c r="E24" s="69">
        <f>'Profit &amp; Loss'!I46</f>
        <v>11.445518893129771</v>
      </c>
      <c r="F24" s="69">
        <f>'Profit &amp; Loss'!J46</f>
        <v>9.9416457963997029</v>
      </c>
      <c r="G24" s="69">
        <f>'Profit &amp; Loss'!K46</f>
        <v>10.282080174891705</v>
      </c>
      <c r="H24" s="41"/>
      <c r="I24"/>
      <c r="J24"/>
      <c r="K24"/>
      <c r="L24" s="34"/>
    </row>
    <row r="25" spans="1:12">
      <c r="A25"/>
      <c r="B25" s="61" t="s">
        <v>118</v>
      </c>
      <c r="C25" s="67">
        <f>'Balance Sheet'!G23</f>
        <v>0.16770147250073414</v>
      </c>
      <c r="D25" s="67">
        <f>'Balance Sheet'!H23</f>
        <v>0.18097878151688715</v>
      </c>
      <c r="E25" s="67">
        <f>'Balance Sheet'!I23</f>
        <v>0.201176844783715</v>
      </c>
      <c r="F25" s="67">
        <f>'Balance Sheet'!J23</f>
        <v>0.20065211449099926</v>
      </c>
      <c r="G25" s="67">
        <f>'Balance Sheet'!K23</f>
        <v>0.21555807457187967</v>
      </c>
      <c r="H25" s="46"/>
      <c r="I25"/>
      <c r="J25"/>
      <c r="K25"/>
      <c r="L25" s="34"/>
    </row>
    <row r="26" spans="1:12">
      <c r="A26"/>
      <c r="B26" s="61" t="s">
        <v>119</v>
      </c>
      <c r="C26" s="67">
        <f>'Balance Sheet'!G24</f>
        <v>0.38359300931971452</v>
      </c>
      <c r="D26" s="67">
        <f>'Balance Sheet'!H24</f>
        <v>0.2451471701200679</v>
      </c>
      <c r="E26" s="67">
        <f>'Balance Sheet'!I24</f>
        <v>0.26485087624351794</v>
      </c>
      <c r="F26" s="67">
        <f>'Balance Sheet'!J24</f>
        <v>0.27363876229311584</v>
      </c>
      <c r="G26" s="67">
        <f>'Balance Sheet'!K24</f>
        <v>0.28548847251137327</v>
      </c>
      <c r="H26" s="46"/>
      <c r="I26"/>
      <c r="J26"/>
      <c r="K26"/>
      <c r="L26" s="34"/>
    </row>
    <row r="27" spans="1:12" ht="4" customHeight="1">
      <c r="A27"/>
      <c r="B27"/>
      <c r="C27"/>
      <c r="D27"/>
      <c r="E27"/>
      <c r="F27"/>
      <c r="G27"/>
      <c r="H27"/>
      <c r="I27"/>
      <c r="J27"/>
      <c r="K27"/>
      <c r="L27" s="34"/>
    </row>
    <row r="28" spans="1:12" ht="17.5" customHeight="1">
      <c r="A28"/>
      <c r="B28" s="51" t="s">
        <v>135</v>
      </c>
      <c r="C28" s="83" t="s">
        <v>139</v>
      </c>
      <c r="D28" s="83"/>
      <c r="E28" s="50" t="s">
        <v>138</v>
      </c>
      <c r="F28" s="83" t="s">
        <v>137</v>
      </c>
      <c r="G28" s="83"/>
      <c r="H28"/>
      <c r="I28" s="93" t="s">
        <v>144</v>
      </c>
      <c r="J28" s="93"/>
      <c r="K28" s="93"/>
      <c r="L28" s="34"/>
    </row>
    <row r="29" spans="1:12">
      <c r="A29"/>
      <c r="B29" s="70" t="str">
        <f>'Raw Data'!G1159</f>
        <v>UNILEVER PLC</v>
      </c>
      <c r="C29" s="90">
        <f>'Raw Data'!H1159</f>
        <v>111.4370148</v>
      </c>
      <c r="D29" s="90"/>
      <c r="E29" s="67">
        <f>'Raw Data'!I1159</f>
        <v>0.4743</v>
      </c>
      <c r="F29" s="90">
        <f>'Raw Data'!J1159</f>
        <v>252142.96153722002</v>
      </c>
      <c r="G29" s="94"/>
      <c r="H29"/>
      <c r="I29"/>
      <c r="J29"/>
      <c r="K29"/>
      <c r="L29" s="34"/>
    </row>
    <row r="30" spans="1:12">
      <c r="A30"/>
      <c r="B30" s="70" t="str">
        <f>'Raw Data'!G1160</f>
        <v>LIFE INSURANCE CORPORATION OF INDIA</v>
      </c>
      <c r="C30" s="90">
        <f>'Raw Data'!H1160</f>
        <v>15.743276099999999</v>
      </c>
      <c r="D30" s="90"/>
      <c r="E30" s="67">
        <f>'Raw Data'!I1160</f>
        <v>6.7000000000000004E-2</v>
      </c>
      <c r="F30" s="90">
        <f>'Raw Data'!J1160</f>
        <v>35621.523667665002</v>
      </c>
      <c r="G30" s="94"/>
      <c r="H30"/>
      <c r="I30"/>
      <c r="J30"/>
      <c r="K30"/>
      <c r="L30" s="34"/>
    </row>
    <row r="31" spans="1:12">
      <c r="A31"/>
      <c r="B31" s="70" t="str">
        <f>'Raw Data'!G1161</f>
        <v>UNILEVER GROUP LIMITED</v>
      </c>
      <c r="C31" s="90">
        <f>'Raw Data'!H1161</f>
        <v>10.673946000000001</v>
      </c>
      <c r="D31" s="90"/>
      <c r="E31" s="67">
        <f>'Raw Data'!I1161</f>
        <v>4.5400000000000003E-2</v>
      </c>
      <c r="F31" s="90">
        <f>'Raw Data'!J1161</f>
        <v>24151.403916900003</v>
      </c>
      <c r="G31" s="94"/>
      <c r="H31"/>
      <c r="I31"/>
      <c r="J31"/>
      <c r="K31"/>
      <c r="L31" s="34"/>
    </row>
    <row r="32" spans="1:12">
      <c r="A32"/>
      <c r="B32" s="70" t="str">
        <f>'Raw Data'!G1162</f>
        <v>UNILEVER OVERSEAS HOLDINGS AG</v>
      </c>
      <c r="C32" s="90">
        <f>'Raw Data'!H1162</f>
        <v>6.8784320000000001</v>
      </c>
      <c r="D32" s="90"/>
      <c r="E32" s="67">
        <f>'Raw Data'!I1162</f>
        <v>2.9300000000000003E-2</v>
      </c>
      <c r="F32" s="90">
        <f>'Raw Data'!J1162</f>
        <v>15563.4841648</v>
      </c>
      <c r="G32" s="94"/>
      <c r="H32"/>
      <c r="I32"/>
      <c r="J32"/>
      <c r="K32"/>
      <c r="L32" s="34"/>
    </row>
    <row r="33" spans="1:12">
      <c r="A33"/>
      <c r="B33" s="70" t="str">
        <f>'Raw Data'!G1163</f>
        <v>UNILEVER UK&amp;CN HOLDINGS LIMITED</v>
      </c>
      <c r="C33" s="90">
        <f>'Raw Data'!H1163</f>
        <v>6.0086250000000003</v>
      </c>
      <c r="D33" s="90"/>
      <c r="E33" s="67">
        <f>'Raw Data'!I1163</f>
        <v>2.5600000000000001E-2</v>
      </c>
      <c r="F33" s="90">
        <f>'Raw Data'!J1163</f>
        <v>13595.415356250001</v>
      </c>
      <c r="G33" s="94"/>
      <c r="H33"/>
      <c r="I33"/>
      <c r="J33"/>
      <c r="K33"/>
      <c r="L33" s="34"/>
    </row>
    <row r="34" spans="1:12">
      <c r="A34"/>
      <c r="B34" s="70" t="str">
        <f>'Raw Data'!G1164</f>
        <v>UNILEVER SOUTH INDIA ESTATES LIMITED</v>
      </c>
      <c r="C34" s="90">
        <f>'Raw Data'!H1164</f>
        <v>5.2747200000000003</v>
      </c>
      <c r="D34" s="90"/>
      <c r="E34" s="67">
        <f>'Raw Data'!I1164</f>
        <v>2.2400000000000003E-2</v>
      </c>
      <c r="F34" s="90">
        <f>'Raw Data'!J1164</f>
        <v>11934.845208000001</v>
      </c>
      <c r="G34" s="94"/>
      <c r="H34"/>
      <c r="I34"/>
      <c r="J34"/>
      <c r="K34"/>
      <c r="L34" s="34"/>
    </row>
    <row r="35" spans="1:12">
      <c r="A35"/>
      <c r="B35" s="70" t="str">
        <f>'Raw Data'!G1165</f>
        <v>SBI ESG EXCLUSIONARY STRATEGY FUND</v>
      </c>
      <c r="C35" s="90">
        <f>'Raw Data'!H1165</f>
        <v>3.8897572999999999</v>
      </c>
      <c r="D35" s="90"/>
      <c r="E35" s="67">
        <f>'Raw Data'!I1165</f>
        <v>1.66E-2</v>
      </c>
      <c r="F35" s="90">
        <f>'Raw Data'!J1165</f>
        <v>8801.1593548450001</v>
      </c>
      <c r="G35" s="94"/>
      <c r="H35"/>
      <c r="I35"/>
      <c r="J35"/>
      <c r="K35"/>
      <c r="L35" s="34"/>
    </row>
    <row r="36" spans="1:12">
      <c r="A36"/>
      <c r="B36" s="70" t="str">
        <f>'Raw Data'!G1166</f>
        <v>ICICI PRUDENTIAL SENSEX ETF</v>
      </c>
      <c r="C36" s="90">
        <f>'Raw Data'!H1166</f>
        <v>3.4496318000000001</v>
      </c>
      <c r="D36" s="90"/>
      <c r="E36" s="67">
        <f>'Raw Data'!I1166</f>
        <v>1.47E-2</v>
      </c>
      <c r="F36" s="90">
        <f>'Raw Data'!J1166</f>
        <v>7805.3093922700009</v>
      </c>
      <c r="G36" s="94"/>
      <c r="H36"/>
      <c r="I36"/>
      <c r="J36"/>
      <c r="K36"/>
      <c r="L36" s="34"/>
    </row>
    <row r="37" spans="1:12">
      <c r="A37"/>
      <c r="B37" s="70" t="str">
        <f>'Raw Data'!G1167</f>
        <v>UNILEVER ASSAM ESTATES LIMITED</v>
      </c>
      <c r="C37" s="90">
        <f>'Raw Data'!H1167</f>
        <v>3.2820480000000001</v>
      </c>
      <c r="D37" s="90"/>
      <c r="E37" s="67">
        <f>'Raw Data'!I1167</f>
        <v>1.3999999999999999E-2</v>
      </c>
      <c r="F37" s="90">
        <f>'Raw Data'!J1167</f>
        <v>7426.1259072000003</v>
      </c>
      <c r="G37" s="94"/>
      <c r="H37"/>
      <c r="I37"/>
      <c r="J37"/>
      <c r="K37"/>
      <c r="L37" s="34"/>
    </row>
    <row r="38" spans="1:12">
      <c r="A38"/>
      <c r="B38" s="70" t="str">
        <f>'Raw Data'!G1168</f>
        <v>UNILEVER OVERSEAS HOLDINGS B V</v>
      </c>
      <c r="C38" s="90">
        <f>'Raw Data'!H1168</f>
        <v>1.8865000000000001</v>
      </c>
      <c r="D38" s="90"/>
      <c r="E38" s="67">
        <f>'Raw Data'!I1168</f>
        <v>8.0000000000000002E-3</v>
      </c>
      <c r="F38" s="90">
        <f>'Raw Data'!J1168</f>
        <v>4268.4892250000003</v>
      </c>
      <c r="G38" s="94"/>
      <c r="H38"/>
      <c r="I38"/>
      <c r="J38"/>
      <c r="K38"/>
      <c r="L38" s="34"/>
    </row>
    <row r="39" spans="1:12" ht="8.5" customHeight="1">
      <c r="A39"/>
      <c r="B39" s="42"/>
      <c r="C39"/>
      <c r="D39"/>
      <c r="E39"/>
      <c r="F39"/>
      <c r="G39"/>
      <c r="H39"/>
      <c r="I39"/>
      <c r="J39"/>
      <c r="K39"/>
      <c r="L39" s="34"/>
    </row>
    <row r="40" spans="1:12" ht="15.5" customHeight="1">
      <c r="A40"/>
      <c r="B40" s="51" t="s">
        <v>205</v>
      </c>
      <c r="C40" s="50" t="s">
        <v>164</v>
      </c>
      <c r="D40" s="83" t="s">
        <v>181</v>
      </c>
      <c r="E40" s="83"/>
      <c r="F40" s="83" t="s">
        <v>192</v>
      </c>
      <c r="G40" s="83"/>
      <c r="H40"/>
      <c r="I40" s="93" t="s">
        <v>145</v>
      </c>
      <c r="J40" s="93"/>
      <c r="K40" s="93"/>
      <c r="L40" s="34"/>
    </row>
    <row r="41" spans="1:12">
      <c r="A41"/>
      <c r="B41" s="42"/>
      <c r="C41"/>
      <c r="D41" s="87"/>
      <c r="E41" s="87"/>
      <c r="F41" s="87"/>
      <c r="G41" s="87"/>
      <c r="H41"/>
      <c r="I41"/>
      <c r="J41"/>
      <c r="K41"/>
      <c r="L41" s="34"/>
    </row>
    <row r="42" spans="1:12" ht="16.5">
      <c r="A42"/>
      <c r="B42" s="42" t="s">
        <v>199</v>
      </c>
      <c r="C42" s="71" t="s">
        <v>165</v>
      </c>
      <c r="D42" s="86" t="s">
        <v>198</v>
      </c>
      <c r="E42" s="86"/>
      <c r="F42" s="86" t="s">
        <v>197</v>
      </c>
      <c r="G42" s="86"/>
      <c r="H42"/>
      <c r="I42" s="55" t="s">
        <v>213</v>
      </c>
      <c r="J42"/>
      <c r="K42">
        <f>'Data Sheet'!B8</f>
        <v>2261.3000000000002</v>
      </c>
      <c r="L42" s="34"/>
    </row>
    <row r="43" spans="1:12">
      <c r="A43"/>
      <c r="B43" t="s">
        <v>153</v>
      </c>
      <c r="C43" s="71" t="s">
        <v>193</v>
      </c>
      <c r="D43" s="86">
        <v>23.23</v>
      </c>
      <c r="E43" s="86"/>
      <c r="F43" s="88">
        <v>146.47</v>
      </c>
      <c r="G43" s="89"/>
      <c r="H43"/>
      <c r="I43" s="55" t="s">
        <v>146</v>
      </c>
      <c r="J43"/>
      <c r="K43" s="56">
        <f>'Data Sheet'!B6</f>
        <v>235.04015389377793</v>
      </c>
      <c r="L43" s="34"/>
    </row>
    <row r="44" spans="1:12">
      <c r="A44"/>
      <c r="B44" t="s">
        <v>154</v>
      </c>
      <c r="C44" s="71" t="s">
        <v>194</v>
      </c>
      <c r="D44" s="86">
        <v>9.39</v>
      </c>
      <c r="E44" s="86"/>
      <c r="F44" s="88">
        <v>59.18</v>
      </c>
      <c r="G44" s="89"/>
      <c r="H44"/>
      <c r="I44" s="55" t="s">
        <v>106</v>
      </c>
      <c r="J44"/>
      <c r="K44" s="60">
        <f>K42*K43</f>
        <v>531496.30000000005</v>
      </c>
      <c r="L44" s="34"/>
    </row>
    <row r="45" spans="1:12">
      <c r="A45"/>
      <c r="B45" t="s">
        <v>190</v>
      </c>
      <c r="C45" s="71" t="s">
        <v>195</v>
      </c>
      <c r="D45" s="86">
        <v>8.8699999999999992</v>
      </c>
      <c r="E45" s="86"/>
      <c r="F45" s="88">
        <v>66.319999999999993</v>
      </c>
      <c r="G45" s="89"/>
      <c r="H45"/>
      <c r="I45" s="58" t="s">
        <v>147</v>
      </c>
      <c r="J45"/>
      <c r="K45" s="57">
        <f>-'Data Sheet'!K69</f>
        <v>-7554</v>
      </c>
      <c r="L45" s="34"/>
    </row>
    <row r="46" spans="1:12">
      <c r="A46"/>
      <c r="B46" t="s">
        <v>191</v>
      </c>
      <c r="C46" s="71" t="s">
        <v>196</v>
      </c>
      <c r="D46" s="86">
        <v>9.9499999999999993</v>
      </c>
      <c r="E46" s="86"/>
      <c r="F46" s="88">
        <v>83.65</v>
      </c>
      <c r="G46" s="89"/>
      <c r="H46"/>
      <c r="I46" s="58" t="s">
        <v>148</v>
      </c>
      <c r="J46"/>
      <c r="K46">
        <f>'Data Sheet'!K59</f>
        <v>1648</v>
      </c>
      <c r="L46" s="34"/>
    </row>
    <row r="47" spans="1:12">
      <c r="A47"/>
      <c r="B47"/>
      <c r="C47"/>
      <c r="D47"/>
      <c r="E47"/>
      <c r="F47"/>
      <c r="G47"/>
      <c r="H47"/>
      <c r="I47" s="59" t="s">
        <v>149</v>
      </c>
      <c r="J47"/>
      <c r="K47" s="60">
        <f>SUM(K44:K46)</f>
        <v>525590.30000000005</v>
      </c>
      <c r="L47" s="34"/>
    </row>
    <row r="48" spans="1:12" s="98" customFormat="1" ht="23.5" customHeight="1">
      <c r="A48" s="72"/>
      <c r="B48" s="82" t="s">
        <v>200</v>
      </c>
      <c r="C48" s="82"/>
      <c r="D48" s="82"/>
      <c r="E48" s="82"/>
      <c r="F48" s="82"/>
      <c r="G48" s="82"/>
      <c r="H48" s="72"/>
      <c r="I48" s="72"/>
      <c r="J48" s="72"/>
      <c r="K48" s="72"/>
      <c r="L48" s="73"/>
    </row>
    <row r="49" spans="1:17" ht="15.5">
      <c r="A49"/>
      <c r="B49" s="51" t="s">
        <v>201</v>
      </c>
      <c r="C49" s="50"/>
      <c r="D49" s="83"/>
      <c r="E49" s="83"/>
      <c r="F49" s="52"/>
      <c r="G49" s="52"/>
      <c r="H49" s="52"/>
      <c r="I49" s="52"/>
      <c r="J49" s="52"/>
      <c r="K49" s="52"/>
      <c r="L49" s="34"/>
    </row>
    <row r="50" spans="1:17">
      <c r="A50"/>
      <c r="B50"/>
      <c r="C50"/>
      <c r="D50"/>
      <c r="E50"/>
      <c r="F50"/>
      <c r="G50"/>
      <c r="H50"/>
      <c r="I50"/>
      <c r="J50"/>
      <c r="K50"/>
      <c r="L50" s="34"/>
    </row>
    <row r="51" spans="1:17" ht="19.5" customHeight="1">
      <c r="A51"/>
      <c r="B51" s="84" t="s">
        <v>202</v>
      </c>
      <c r="C51" s="84"/>
      <c r="D51" s="84"/>
      <c r="E51" s="84"/>
      <c r="F51" s="84"/>
      <c r="G51" s="84"/>
      <c r="H51" s="84"/>
      <c r="I51" s="84"/>
      <c r="J51" s="84"/>
      <c r="K51" s="84"/>
      <c r="L51" s="34"/>
    </row>
    <row r="52" spans="1:17" ht="27" customHeight="1">
      <c r="A52"/>
      <c r="B52" s="85" t="s">
        <v>203</v>
      </c>
      <c r="C52" s="85"/>
      <c r="D52" s="85"/>
      <c r="E52" s="85"/>
      <c r="F52" s="85"/>
      <c r="G52" s="85"/>
      <c r="H52" s="85"/>
      <c r="I52" s="85"/>
      <c r="J52" s="85"/>
      <c r="K52" s="85"/>
      <c r="L52" s="74"/>
      <c r="M52" s="99"/>
      <c r="N52" s="99"/>
    </row>
    <row r="53" spans="1:17" ht="30.5" customHeight="1">
      <c r="A53"/>
      <c r="B53" s="80" t="s">
        <v>204</v>
      </c>
      <c r="C53" s="80"/>
      <c r="D53" s="80"/>
      <c r="E53" s="80"/>
      <c r="F53" s="80"/>
      <c r="G53" s="80"/>
      <c r="H53" s="80"/>
      <c r="I53" s="80"/>
      <c r="J53" s="80"/>
      <c r="K53" s="80"/>
      <c r="L53" s="72"/>
      <c r="M53" s="98"/>
      <c r="N53" s="98"/>
      <c r="O53" s="98"/>
      <c r="P53" s="98"/>
      <c r="Q53" s="98"/>
    </row>
    <row r="54" spans="1:17">
      <c r="A54"/>
      <c r="B54" s="81" t="s">
        <v>206</v>
      </c>
      <c r="C54" s="81"/>
      <c r="D54" s="81"/>
      <c r="E54" s="81"/>
      <c r="F54" s="81"/>
      <c r="G54" s="81"/>
      <c r="H54" s="81"/>
      <c r="I54" s="81"/>
      <c r="J54" s="81"/>
      <c r="K54" s="81"/>
      <c r="L54" s="34"/>
    </row>
    <row r="55" spans="1:17" ht="30" customHeight="1">
      <c r="A55"/>
      <c r="B55" s="80" t="s">
        <v>207</v>
      </c>
      <c r="C55" s="80"/>
      <c r="D55" s="80"/>
      <c r="E55" s="80"/>
      <c r="F55" s="80"/>
      <c r="G55" s="80"/>
      <c r="H55" s="80"/>
      <c r="I55" s="80"/>
      <c r="J55" s="80"/>
      <c r="K55" s="80"/>
      <c r="L55" s="34"/>
    </row>
    <row r="56" spans="1:17">
      <c r="A56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34"/>
    </row>
    <row r="57" spans="1:17" ht="16.5" customHeight="1">
      <c r="A57"/>
      <c r="B57" s="77" t="s">
        <v>209</v>
      </c>
      <c r="C57" s="77"/>
      <c r="D57" s="77"/>
      <c r="E57" s="77"/>
      <c r="F57" s="77"/>
      <c r="G57" s="75" t="s">
        <v>212</v>
      </c>
      <c r="H57" s="78" t="s">
        <v>208</v>
      </c>
      <c r="I57" s="78"/>
      <c r="J57" s="78"/>
      <c r="K57" s="78"/>
      <c r="L57" s="34"/>
    </row>
    <row r="58" spans="1:17">
      <c r="A58"/>
      <c r="B58" s="77" t="s">
        <v>210</v>
      </c>
      <c r="C58" s="77"/>
      <c r="D58" s="77"/>
      <c r="E58" s="77"/>
      <c r="F58" s="77"/>
      <c r="G58" s="76"/>
      <c r="H58" s="79" t="s">
        <v>211</v>
      </c>
      <c r="I58" s="79"/>
      <c r="J58" s="79"/>
      <c r="K58" s="79"/>
      <c r="L58" s="34"/>
    </row>
    <row r="59" spans="1:17">
      <c r="A59"/>
      <c r="B59"/>
      <c r="C59"/>
      <c r="D59"/>
      <c r="E59"/>
      <c r="F59"/>
      <c r="G59"/>
      <c r="H59"/>
      <c r="I59"/>
      <c r="J59"/>
      <c r="K59"/>
      <c r="L59" s="34"/>
    </row>
  </sheetData>
  <mergeCells count="53">
    <mergeCell ref="I40:K40"/>
    <mergeCell ref="F33:G33"/>
    <mergeCell ref="F32:G32"/>
    <mergeCell ref="F31:G31"/>
    <mergeCell ref="F30:G30"/>
    <mergeCell ref="F29:G29"/>
    <mergeCell ref="I28:K28"/>
    <mergeCell ref="C38:D38"/>
    <mergeCell ref="F38:G38"/>
    <mergeCell ref="F37:G37"/>
    <mergeCell ref="F36:G36"/>
    <mergeCell ref="F35:G35"/>
    <mergeCell ref="F34:G34"/>
    <mergeCell ref="C29:D29"/>
    <mergeCell ref="C30:D30"/>
    <mergeCell ref="C31:D31"/>
    <mergeCell ref="C32:D32"/>
    <mergeCell ref="C33:D33"/>
    <mergeCell ref="C34:D34"/>
    <mergeCell ref="C35:D35"/>
    <mergeCell ref="C36:D36"/>
    <mergeCell ref="B2:K2"/>
    <mergeCell ref="C4:K4"/>
    <mergeCell ref="I6:K6"/>
    <mergeCell ref="I19:K19"/>
    <mergeCell ref="C28:D28"/>
    <mergeCell ref="F28:G28"/>
    <mergeCell ref="F40:G40"/>
    <mergeCell ref="D40:E40"/>
    <mergeCell ref="D41:E41"/>
    <mergeCell ref="D42:E42"/>
    <mergeCell ref="C37:D37"/>
    <mergeCell ref="F41:G41"/>
    <mergeCell ref="F42:G42"/>
    <mergeCell ref="F43:G43"/>
    <mergeCell ref="F44:G44"/>
    <mergeCell ref="F45:G45"/>
    <mergeCell ref="B48:G48"/>
    <mergeCell ref="D49:E49"/>
    <mergeCell ref="B51:K51"/>
    <mergeCell ref="B52:K52"/>
    <mergeCell ref="D43:E43"/>
    <mergeCell ref="D44:E44"/>
    <mergeCell ref="D45:E45"/>
    <mergeCell ref="D46:E46"/>
    <mergeCell ref="F46:G46"/>
    <mergeCell ref="B57:F57"/>
    <mergeCell ref="B58:F58"/>
    <mergeCell ref="H57:K57"/>
    <mergeCell ref="H58:K58"/>
    <mergeCell ref="B53:K53"/>
    <mergeCell ref="B54:K54"/>
    <mergeCell ref="B55:K55"/>
  </mergeCells>
  <hyperlinks>
    <hyperlink ref="B52" r:id="rId1" display="https://www.cnbctv18.com/market/stocks/hindustan-unilever-ltd-share-price/HU/"/>
  </hyperlinks>
  <pageMargins left="0.23622047244094491" right="0.23622047244094491" top="0.39370078740157483" bottom="0.19685039370078741" header="0.31496062992125984" footer="0"/>
  <pageSetup paperSize="9" scale="7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8" tint="-0.249977111117893"/>
  </sheetPr>
  <dimension ref="A1"/>
  <sheetViews>
    <sheetView topLeftCell="A4" workbookViewId="0">
      <selection activeCell="G20" sqref="G20"/>
    </sheetView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4"/>
  </sheetPr>
  <dimension ref="A1:K93"/>
  <sheetViews>
    <sheetView zoomScale="120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B8" sqref="B8"/>
    </sheetView>
  </sheetViews>
  <sheetFormatPr defaultColWidth="8.81640625" defaultRowHeight="14.5"/>
  <cols>
    <col min="1" max="1" width="27.6328125" style="5" customWidth="1"/>
    <col min="2" max="2" width="13.453125" style="5" bestFit="1" customWidth="1"/>
    <col min="3" max="3" width="13.453125" style="5" customWidth="1"/>
    <col min="4" max="11" width="13.453125" style="5" bestFit="1" customWidth="1"/>
    <col min="12" max="16384" width="8.81640625" style="5"/>
  </cols>
  <sheetData>
    <row r="1" spans="1:11" s="1" customFormat="1">
      <c r="A1" s="1" t="s">
        <v>0</v>
      </c>
      <c r="B1" s="1" t="s">
        <v>54</v>
      </c>
      <c r="E1" s="95" t="str">
        <f>IF(B2&lt;&gt;B3, "A NEW VERSION OF THE WORKSHEET IS AVAILABLE", "")</f>
        <v/>
      </c>
      <c r="F1" s="95"/>
      <c r="G1" s="95"/>
      <c r="H1" s="95"/>
      <c r="I1" s="95"/>
      <c r="J1" s="95"/>
      <c r="K1" s="95"/>
    </row>
    <row r="2" spans="1:11">
      <c r="A2" s="1" t="s">
        <v>52</v>
      </c>
      <c r="B2" s="5">
        <v>2.1</v>
      </c>
      <c r="E2" s="96" t="s">
        <v>36</v>
      </c>
      <c r="F2" s="96"/>
      <c r="G2" s="96"/>
      <c r="H2" s="96"/>
      <c r="I2" s="96"/>
      <c r="J2" s="96"/>
      <c r="K2" s="96"/>
    </row>
    <row r="3" spans="1:11">
      <c r="A3" s="1" t="s">
        <v>53</v>
      </c>
      <c r="B3" s="5">
        <v>2.1</v>
      </c>
    </row>
    <row r="4" spans="1:11">
      <c r="A4" s="1"/>
    </row>
    <row r="5" spans="1:11">
      <c r="A5" s="1" t="s">
        <v>55</v>
      </c>
    </row>
    <row r="6" spans="1:11">
      <c r="A6" s="5" t="s">
        <v>42</v>
      </c>
      <c r="B6" s="5">
        <f>IF(B9&gt;0, B9/B8, 0)</f>
        <v>235.04015389377793</v>
      </c>
    </row>
    <row r="7" spans="1:11">
      <c r="A7" s="5" t="s">
        <v>31</v>
      </c>
      <c r="B7">
        <v>1</v>
      </c>
    </row>
    <row r="8" spans="1:11">
      <c r="A8" s="5" t="s">
        <v>43</v>
      </c>
      <c r="B8">
        <v>2261.3000000000002</v>
      </c>
    </row>
    <row r="9" spans="1:11">
      <c r="A9" s="5" t="s">
        <v>70</v>
      </c>
      <c r="B9">
        <v>531496.30000000005</v>
      </c>
    </row>
    <row r="15" spans="1:11">
      <c r="A15" s="1" t="s">
        <v>37</v>
      </c>
    </row>
    <row r="16" spans="1:11" s="24" customFormat="1">
      <c r="A16" s="23" t="s">
        <v>38</v>
      </c>
      <c r="B16" s="16">
        <v>42460</v>
      </c>
      <c r="C16" s="16">
        <v>42825</v>
      </c>
      <c r="D16" s="16">
        <v>43190</v>
      </c>
      <c r="E16" s="16">
        <v>43555</v>
      </c>
      <c r="F16" s="16">
        <v>43921</v>
      </c>
      <c r="G16" s="16">
        <v>44286</v>
      </c>
      <c r="H16" s="16">
        <v>44651</v>
      </c>
      <c r="I16" s="16">
        <v>45016</v>
      </c>
      <c r="J16" s="16">
        <v>45382</v>
      </c>
      <c r="K16" s="16">
        <v>45747</v>
      </c>
    </row>
    <row r="17" spans="1:11" s="9" customFormat="1">
      <c r="A17" s="9" t="s">
        <v>6</v>
      </c>
      <c r="B17">
        <v>32186</v>
      </c>
      <c r="C17">
        <v>33162</v>
      </c>
      <c r="D17">
        <v>35545</v>
      </c>
      <c r="E17">
        <v>39310</v>
      </c>
      <c r="F17">
        <v>39783</v>
      </c>
      <c r="G17">
        <v>47028</v>
      </c>
      <c r="H17">
        <v>52446</v>
      </c>
      <c r="I17">
        <v>60580</v>
      </c>
      <c r="J17">
        <v>61896</v>
      </c>
      <c r="K17">
        <v>63121</v>
      </c>
    </row>
    <row r="18" spans="1:11" s="9" customFormat="1">
      <c r="A18" s="5" t="s">
        <v>71</v>
      </c>
      <c r="B18">
        <v>13184</v>
      </c>
      <c r="C18">
        <v>13606</v>
      </c>
      <c r="D18">
        <v>14233</v>
      </c>
      <c r="E18">
        <v>15845</v>
      </c>
      <c r="F18">
        <v>15697</v>
      </c>
      <c r="G18">
        <v>20141</v>
      </c>
      <c r="H18">
        <v>22871</v>
      </c>
      <c r="I18">
        <v>28427</v>
      </c>
      <c r="J18">
        <v>26822</v>
      </c>
      <c r="K18">
        <v>27344</v>
      </c>
    </row>
    <row r="19" spans="1:11" s="9" customFormat="1">
      <c r="A19" s="5" t="s">
        <v>72</v>
      </c>
      <c r="B19">
        <v>-83</v>
      </c>
      <c r="C19">
        <v>-144</v>
      </c>
      <c r="D19">
        <v>72</v>
      </c>
      <c r="E19">
        <v>-12</v>
      </c>
      <c r="F19">
        <v>108</v>
      </c>
      <c r="G19">
        <v>405</v>
      </c>
      <c r="H19">
        <v>22</v>
      </c>
      <c r="I19">
        <v>75</v>
      </c>
      <c r="J19">
        <v>11</v>
      </c>
      <c r="K19">
        <v>153</v>
      </c>
    </row>
    <row r="20" spans="1:11" s="9" customFormat="1">
      <c r="A20" s="5" t="s">
        <v>73</v>
      </c>
      <c r="B20">
        <v>309</v>
      </c>
      <c r="C20">
        <v>295</v>
      </c>
      <c r="D20">
        <v>295</v>
      </c>
      <c r="E20">
        <v>308</v>
      </c>
      <c r="F20">
        <v>299</v>
      </c>
      <c r="G20">
        <v>339</v>
      </c>
      <c r="H20">
        <v>318</v>
      </c>
      <c r="I20">
        <v>384</v>
      </c>
      <c r="J20">
        <v>446</v>
      </c>
      <c r="K20">
        <v>427</v>
      </c>
    </row>
    <row r="21" spans="1:11" s="9" customFormat="1">
      <c r="A21" s="5" t="s">
        <v>74</v>
      </c>
      <c r="B21">
        <v>2966</v>
      </c>
      <c r="C21">
        <v>2887</v>
      </c>
      <c r="D21">
        <v>2998</v>
      </c>
      <c r="E21">
        <v>3041</v>
      </c>
      <c r="F21">
        <v>2906</v>
      </c>
      <c r="G21">
        <v>2868</v>
      </c>
      <c r="H21">
        <v>3354</v>
      </c>
      <c r="I21">
        <v>3791</v>
      </c>
      <c r="J21">
        <v>3385</v>
      </c>
      <c r="K21">
        <v>3834</v>
      </c>
    </row>
    <row r="22" spans="1:11" s="9" customFormat="1">
      <c r="A22" s="5" t="s">
        <v>75</v>
      </c>
      <c r="B22">
        <v>1680</v>
      </c>
      <c r="C22">
        <v>1743</v>
      </c>
      <c r="D22">
        <v>1860</v>
      </c>
      <c r="E22">
        <v>1875</v>
      </c>
      <c r="F22">
        <v>1820</v>
      </c>
      <c r="G22">
        <v>2358</v>
      </c>
      <c r="H22">
        <v>2545</v>
      </c>
      <c r="I22">
        <v>2854</v>
      </c>
      <c r="J22">
        <v>3009</v>
      </c>
      <c r="K22">
        <v>3077</v>
      </c>
    </row>
    <row r="23" spans="1:11" s="9" customFormat="1">
      <c r="A23" s="5" t="s">
        <v>76</v>
      </c>
      <c r="B23">
        <v>6741</v>
      </c>
      <c r="C23">
        <v>6689</v>
      </c>
      <c r="D23">
        <v>7252</v>
      </c>
      <c r="E23">
        <v>7796</v>
      </c>
      <c r="F23">
        <v>7620</v>
      </c>
      <c r="G23">
        <v>7906</v>
      </c>
      <c r="H23">
        <v>8164</v>
      </c>
      <c r="I23">
        <v>8785</v>
      </c>
      <c r="J23">
        <v>10780</v>
      </c>
      <c r="K23">
        <v>10693</v>
      </c>
    </row>
    <row r="24" spans="1:11" s="9" customFormat="1">
      <c r="A24" s="5" t="s">
        <v>77</v>
      </c>
      <c r="B24">
        <v>1313</v>
      </c>
      <c r="C24">
        <v>1470</v>
      </c>
      <c r="D24">
        <v>1480</v>
      </c>
      <c r="E24">
        <v>1553</v>
      </c>
      <c r="F24">
        <v>1688</v>
      </c>
      <c r="G24">
        <v>2195</v>
      </c>
      <c r="H24">
        <v>2359</v>
      </c>
      <c r="I24">
        <v>2267</v>
      </c>
      <c r="J24">
        <v>2806</v>
      </c>
      <c r="K24">
        <v>3056</v>
      </c>
    </row>
    <row r="25" spans="1:11" s="9" customFormat="1">
      <c r="A25" s="9" t="s">
        <v>9</v>
      </c>
      <c r="B25">
        <v>486</v>
      </c>
      <c r="C25">
        <v>606</v>
      </c>
      <c r="D25">
        <v>353</v>
      </c>
      <c r="E25">
        <v>322</v>
      </c>
      <c r="F25">
        <v>424</v>
      </c>
      <c r="G25">
        <v>170</v>
      </c>
      <c r="H25">
        <v>219</v>
      </c>
      <c r="I25">
        <v>448</v>
      </c>
      <c r="J25">
        <v>817</v>
      </c>
      <c r="K25">
        <v>1322</v>
      </c>
    </row>
    <row r="26" spans="1:11" s="9" customFormat="1">
      <c r="A26" s="9" t="s">
        <v>10</v>
      </c>
      <c r="B26">
        <v>353</v>
      </c>
      <c r="C26">
        <v>432</v>
      </c>
      <c r="D26">
        <v>520</v>
      </c>
      <c r="E26">
        <v>565</v>
      </c>
      <c r="F26">
        <v>1002</v>
      </c>
      <c r="G26">
        <v>1074</v>
      </c>
      <c r="H26">
        <v>1091</v>
      </c>
      <c r="I26">
        <v>1137</v>
      </c>
      <c r="J26">
        <v>1216</v>
      </c>
      <c r="K26">
        <v>1355</v>
      </c>
    </row>
    <row r="27" spans="1:11" s="9" customFormat="1">
      <c r="A27" s="9" t="s">
        <v>11</v>
      </c>
      <c r="B27">
        <v>17</v>
      </c>
      <c r="C27">
        <v>35</v>
      </c>
      <c r="D27">
        <v>26</v>
      </c>
      <c r="E27">
        <v>33</v>
      </c>
      <c r="F27">
        <v>118</v>
      </c>
      <c r="G27">
        <v>117</v>
      </c>
      <c r="H27">
        <v>106</v>
      </c>
      <c r="I27">
        <v>114</v>
      </c>
      <c r="J27">
        <v>334</v>
      </c>
      <c r="K27">
        <v>395</v>
      </c>
    </row>
    <row r="28" spans="1:11" s="9" customFormat="1">
      <c r="A28" s="9" t="s">
        <v>12</v>
      </c>
      <c r="B28">
        <v>6026</v>
      </c>
      <c r="C28">
        <v>6467</v>
      </c>
      <c r="D28">
        <v>7306</v>
      </c>
      <c r="E28">
        <v>8604</v>
      </c>
      <c r="F28">
        <v>9165</v>
      </c>
      <c r="G28">
        <v>10605</v>
      </c>
      <c r="H28">
        <v>11879</v>
      </c>
      <c r="I28">
        <v>13344</v>
      </c>
      <c r="J28">
        <v>13926</v>
      </c>
      <c r="K28">
        <v>14415</v>
      </c>
    </row>
    <row r="29" spans="1:11" s="9" customFormat="1">
      <c r="A29" s="9" t="s">
        <v>13</v>
      </c>
      <c r="B29">
        <v>1875</v>
      </c>
      <c r="C29">
        <v>1977</v>
      </c>
      <c r="D29">
        <v>2079</v>
      </c>
      <c r="E29">
        <v>2544</v>
      </c>
      <c r="F29">
        <v>2409</v>
      </c>
      <c r="G29">
        <v>2606</v>
      </c>
      <c r="H29">
        <v>2987</v>
      </c>
      <c r="I29">
        <v>3201</v>
      </c>
      <c r="J29">
        <v>3644</v>
      </c>
      <c r="K29">
        <v>3744</v>
      </c>
    </row>
    <row r="30" spans="1:11" s="9" customFormat="1">
      <c r="A30" s="9" t="s">
        <v>14</v>
      </c>
      <c r="B30">
        <v>4151</v>
      </c>
      <c r="C30">
        <v>4476</v>
      </c>
      <c r="D30">
        <v>5214</v>
      </c>
      <c r="E30">
        <v>6054</v>
      </c>
      <c r="F30">
        <v>6748</v>
      </c>
      <c r="G30">
        <v>7995</v>
      </c>
      <c r="H30">
        <v>8879</v>
      </c>
      <c r="I30">
        <v>10120</v>
      </c>
      <c r="J30">
        <v>10277</v>
      </c>
      <c r="K30">
        <v>10649</v>
      </c>
    </row>
    <row r="31" spans="1:11" s="9" customFormat="1">
      <c r="A31" s="9" t="s">
        <v>61</v>
      </c>
      <c r="B31">
        <v>3456</v>
      </c>
      <c r="C31">
        <v>3672</v>
      </c>
      <c r="D31">
        <v>4320</v>
      </c>
      <c r="E31">
        <v>4752</v>
      </c>
      <c r="F31">
        <v>5400</v>
      </c>
      <c r="G31">
        <v>9517.5</v>
      </c>
      <c r="H31">
        <v>7990</v>
      </c>
      <c r="I31">
        <v>9165</v>
      </c>
      <c r="J31">
        <v>9870</v>
      </c>
      <c r="K31">
        <v>12455</v>
      </c>
    </row>
    <row r="32" spans="1:11" s="9" customFormat="1"/>
    <row r="33" spans="1:11">
      <c r="A33" s="9"/>
    </row>
    <row r="34" spans="1:11">
      <c r="A34" s="9"/>
    </row>
    <row r="35" spans="1:11">
      <c r="A35" s="9"/>
    </row>
    <row r="36" spans="1:11">
      <c r="A36" s="9"/>
    </row>
    <row r="37" spans="1:11">
      <c r="A37" s="9"/>
    </row>
    <row r="38" spans="1:11">
      <c r="A38" s="9"/>
    </row>
    <row r="39" spans="1:11">
      <c r="A39" s="9"/>
    </row>
    <row r="40" spans="1:11">
      <c r="A40" s="1" t="s">
        <v>39</v>
      </c>
    </row>
    <row r="41" spans="1:11" s="24" customFormat="1">
      <c r="A41" s="23" t="s">
        <v>38</v>
      </c>
      <c r="B41" s="16">
        <v>45199</v>
      </c>
      <c r="C41" s="16">
        <v>45291</v>
      </c>
      <c r="D41" s="16">
        <v>45382</v>
      </c>
      <c r="E41" s="16">
        <v>45473</v>
      </c>
      <c r="F41" s="16">
        <v>45565</v>
      </c>
      <c r="G41" s="16">
        <v>45657</v>
      </c>
      <c r="H41" s="16">
        <v>45747</v>
      </c>
      <c r="I41" s="16">
        <v>45838</v>
      </c>
      <c r="J41" s="16">
        <v>45930</v>
      </c>
      <c r="K41" s="16">
        <v>46022</v>
      </c>
    </row>
    <row r="42" spans="1:11" s="9" customFormat="1">
      <c r="A42" s="9" t="s">
        <v>6</v>
      </c>
      <c r="B42">
        <v>15623</v>
      </c>
      <c r="C42">
        <v>15567</v>
      </c>
      <c r="D42">
        <v>15210</v>
      </c>
      <c r="E42">
        <v>15707</v>
      </c>
      <c r="F42">
        <v>15926</v>
      </c>
      <c r="G42">
        <v>15556</v>
      </c>
      <c r="H42">
        <v>15670</v>
      </c>
      <c r="I42">
        <v>16514</v>
      </c>
      <c r="J42">
        <v>15919</v>
      </c>
      <c r="K42">
        <v>16441</v>
      </c>
    </row>
    <row r="43" spans="1:11" s="9" customFormat="1">
      <c r="A43" s="9" t="s">
        <v>7</v>
      </c>
      <c r="B43">
        <v>11828</v>
      </c>
      <c r="C43">
        <v>11902</v>
      </c>
      <c r="D43">
        <v>11675</v>
      </c>
      <c r="E43">
        <v>11965</v>
      </c>
      <c r="F43">
        <v>12139</v>
      </c>
      <c r="G43">
        <v>11867</v>
      </c>
      <c r="H43">
        <v>12052</v>
      </c>
      <c r="I43">
        <v>12797</v>
      </c>
      <c r="J43">
        <v>12137</v>
      </c>
      <c r="K43">
        <v>12660</v>
      </c>
    </row>
    <row r="44" spans="1:11" s="9" customFormat="1">
      <c r="A44" s="9" t="s">
        <v>9</v>
      </c>
      <c r="B44">
        <v>178</v>
      </c>
      <c r="C44">
        <v>184</v>
      </c>
      <c r="D44">
        <v>309</v>
      </c>
      <c r="E44">
        <v>209</v>
      </c>
      <c r="F44">
        <v>203</v>
      </c>
      <c r="G44">
        <v>733</v>
      </c>
      <c r="H44">
        <v>171</v>
      </c>
      <c r="I44">
        <v>74</v>
      </c>
      <c r="J44">
        <v>269</v>
      </c>
      <c r="K44">
        <v>4048</v>
      </c>
    </row>
    <row r="45" spans="1:11" s="9" customFormat="1">
      <c r="A45" s="9" t="s">
        <v>10</v>
      </c>
      <c r="B45">
        <v>297</v>
      </c>
      <c r="C45">
        <v>313</v>
      </c>
      <c r="D45">
        <v>320</v>
      </c>
      <c r="E45">
        <v>329</v>
      </c>
      <c r="F45">
        <v>338</v>
      </c>
      <c r="G45">
        <v>318</v>
      </c>
      <c r="H45">
        <v>347</v>
      </c>
      <c r="I45">
        <v>361</v>
      </c>
      <c r="J45">
        <v>322</v>
      </c>
      <c r="K45">
        <v>337</v>
      </c>
    </row>
    <row r="46" spans="1:11" s="9" customFormat="1">
      <c r="A46" s="9" t="s">
        <v>11</v>
      </c>
      <c r="B46">
        <v>88</v>
      </c>
      <c r="C46">
        <v>91</v>
      </c>
      <c r="D46">
        <v>105</v>
      </c>
      <c r="E46">
        <v>93</v>
      </c>
      <c r="F46">
        <v>110</v>
      </c>
      <c r="G46">
        <v>109</v>
      </c>
      <c r="H46">
        <v>80</v>
      </c>
      <c r="I46">
        <v>127</v>
      </c>
      <c r="J46">
        <v>124</v>
      </c>
      <c r="K46">
        <v>88</v>
      </c>
    </row>
    <row r="47" spans="1:11" s="9" customFormat="1">
      <c r="A47" s="9" t="s">
        <v>12</v>
      </c>
      <c r="B47">
        <v>3588</v>
      </c>
      <c r="C47">
        <v>3445</v>
      </c>
      <c r="D47">
        <v>3419</v>
      </c>
      <c r="E47">
        <v>3529</v>
      </c>
      <c r="F47">
        <v>3542</v>
      </c>
      <c r="G47">
        <v>3995</v>
      </c>
      <c r="H47">
        <v>3362</v>
      </c>
      <c r="I47">
        <v>3303</v>
      </c>
      <c r="J47">
        <v>3605</v>
      </c>
      <c r="K47">
        <v>7404</v>
      </c>
    </row>
    <row r="48" spans="1:11" s="9" customFormat="1">
      <c r="A48" s="9" t="s">
        <v>13</v>
      </c>
      <c r="B48">
        <v>931</v>
      </c>
      <c r="C48">
        <v>937</v>
      </c>
      <c r="D48">
        <v>858</v>
      </c>
      <c r="E48">
        <v>917</v>
      </c>
      <c r="F48">
        <v>947</v>
      </c>
      <c r="G48">
        <v>1006</v>
      </c>
      <c r="H48">
        <v>887</v>
      </c>
      <c r="I48">
        <v>535</v>
      </c>
      <c r="J48">
        <v>911</v>
      </c>
      <c r="K48">
        <v>801</v>
      </c>
    </row>
    <row r="49" spans="1:11" s="9" customFormat="1">
      <c r="A49" s="9" t="s">
        <v>14</v>
      </c>
      <c r="B49">
        <v>2656</v>
      </c>
      <c r="C49">
        <v>2509</v>
      </c>
      <c r="D49">
        <v>2558</v>
      </c>
      <c r="E49">
        <v>2610</v>
      </c>
      <c r="F49">
        <v>2591</v>
      </c>
      <c r="G49">
        <v>2984</v>
      </c>
      <c r="H49">
        <v>2464</v>
      </c>
      <c r="I49">
        <v>2756</v>
      </c>
      <c r="J49">
        <v>2685</v>
      </c>
      <c r="K49">
        <v>6607</v>
      </c>
    </row>
    <row r="50" spans="1:11">
      <c r="A50" s="9" t="s">
        <v>8</v>
      </c>
      <c r="B50">
        <v>3795</v>
      </c>
      <c r="C50">
        <v>3665</v>
      </c>
      <c r="D50">
        <v>3535</v>
      </c>
      <c r="E50">
        <v>3742</v>
      </c>
      <c r="F50">
        <v>3787</v>
      </c>
      <c r="G50">
        <v>3689</v>
      </c>
      <c r="H50">
        <v>3618</v>
      </c>
      <c r="I50">
        <v>3717</v>
      </c>
      <c r="J50">
        <v>3782</v>
      </c>
      <c r="K50">
        <v>3781</v>
      </c>
    </row>
    <row r="51" spans="1:11">
      <c r="A51" s="9"/>
    </row>
    <row r="52" spans="1:11">
      <c r="A52" s="9"/>
    </row>
    <row r="53" spans="1:11">
      <c r="A53" s="9"/>
    </row>
    <row r="54" spans="1:11">
      <c r="A54" s="9"/>
    </row>
    <row r="55" spans="1:11">
      <c r="A55" s="1" t="s">
        <v>40</v>
      </c>
    </row>
    <row r="56" spans="1:11" s="24" customFormat="1">
      <c r="A56" s="23" t="s">
        <v>38</v>
      </c>
      <c r="B56" s="16">
        <v>42460</v>
      </c>
      <c r="C56" s="16">
        <v>42825</v>
      </c>
      <c r="D56" s="16">
        <v>43190</v>
      </c>
      <c r="E56" s="16">
        <v>43555</v>
      </c>
      <c r="F56" s="16">
        <v>43921</v>
      </c>
      <c r="G56" s="16">
        <v>44286</v>
      </c>
      <c r="H56" s="16">
        <v>44651</v>
      </c>
      <c r="I56" s="16">
        <v>45016</v>
      </c>
      <c r="J56" s="16">
        <v>45382</v>
      </c>
      <c r="K56" s="16">
        <v>45747</v>
      </c>
    </row>
    <row r="57" spans="1:11">
      <c r="A57" s="9" t="s">
        <v>24</v>
      </c>
      <c r="B57">
        <v>216</v>
      </c>
      <c r="C57">
        <v>216</v>
      </c>
      <c r="D57">
        <v>216</v>
      </c>
      <c r="E57">
        <v>216</v>
      </c>
      <c r="F57">
        <v>216</v>
      </c>
      <c r="G57">
        <v>235</v>
      </c>
      <c r="H57">
        <v>235</v>
      </c>
      <c r="I57">
        <v>235</v>
      </c>
      <c r="J57">
        <v>235</v>
      </c>
      <c r="K57">
        <v>235</v>
      </c>
    </row>
    <row r="58" spans="1:11">
      <c r="A58" s="9" t="s">
        <v>25</v>
      </c>
      <c r="B58">
        <v>6357</v>
      </c>
      <c r="C58">
        <v>6528</v>
      </c>
      <c r="D58">
        <v>7065</v>
      </c>
      <c r="E58">
        <v>7651</v>
      </c>
      <c r="F58">
        <v>8013</v>
      </c>
      <c r="G58">
        <v>47439</v>
      </c>
      <c r="H58">
        <v>48826</v>
      </c>
      <c r="I58">
        <v>50069</v>
      </c>
      <c r="J58">
        <v>50983</v>
      </c>
      <c r="K58">
        <v>49167</v>
      </c>
    </row>
    <row r="59" spans="1:11">
      <c r="A59" s="9" t="s">
        <v>62</v>
      </c>
      <c r="B59">
        <v>177</v>
      </c>
      <c r="C59">
        <v>277</v>
      </c>
      <c r="E59">
        <v>99</v>
      </c>
      <c r="H59">
        <v>1043</v>
      </c>
      <c r="I59">
        <v>1219</v>
      </c>
      <c r="J59">
        <v>1484</v>
      </c>
      <c r="K59">
        <v>1648</v>
      </c>
    </row>
    <row r="60" spans="1:11">
      <c r="A60" s="9" t="s">
        <v>63</v>
      </c>
      <c r="B60">
        <v>8043</v>
      </c>
      <c r="C60">
        <v>8685</v>
      </c>
      <c r="D60">
        <v>10581</v>
      </c>
      <c r="E60">
        <v>10663</v>
      </c>
      <c r="F60">
        <v>11924</v>
      </c>
      <c r="G60">
        <v>21066</v>
      </c>
      <c r="H60">
        <v>20402</v>
      </c>
      <c r="I60">
        <v>21554</v>
      </c>
      <c r="J60">
        <v>25787</v>
      </c>
      <c r="K60">
        <v>28813</v>
      </c>
    </row>
    <row r="61" spans="1:11" s="1" customFormat="1">
      <c r="A61" s="1" t="s">
        <v>26</v>
      </c>
      <c r="B61">
        <v>14793</v>
      </c>
      <c r="C61">
        <v>15706</v>
      </c>
      <c r="D61">
        <v>17862</v>
      </c>
      <c r="E61">
        <v>18629</v>
      </c>
      <c r="F61">
        <v>20153</v>
      </c>
      <c r="G61">
        <v>68740</v>
      </c>
      <c r="H61">
        <v>70506</v>
      </c>
      <c r="I61">
        <v>73077</v>
      </c>
      <c r="J61">
        <v>78489</v>
      </c>
      <c r="K61">
        <v>79863</v>
      </c>
    </row>
    <row r="62" spans="1:11">
      <c r="A62" s="9" t="s">
        <v>27</v>
      </c>
      <c r="B62">
        <v>3258</v>
      </c>
      <c r="C62">
        <v>4419</v>
      </c>
      <c r="D62">
        <v>4528</v>
      </c>
      <c r="E62">
        <v>4715</v>
      </c>
      <c r="F62">
        <v>5479</v>
      </c>
      <c r="G62">
        <v>51443</v>
      </c>
      <c r="H62">
        <v>51473</v>
      </c>
      <c r="I62">
        <v>52678</v>
      </c>
      <c r="J62">
        <v>53744</v>
      </c>
      <c r="K62">
        <v>54335</v>
      </c>
    </row>
    <row r="63" spans="1:11">
      <c r="A63" s="9" t="s">
        <v>28</v>
      </c>
      <c r="B63">
        <v>408</v>
      </c>
      <c r="C63">
        <v>229</v>
      </c>
      <c r="D63">
        <v>461</v>
      </c>
      <c r="E63">
        <v>406</v>
      </c>
      <c r="F63">
        <v>597</v>
      </c>
      <c r="G63">
        <v>745</v>
      </c>
      <c r="H63">
        <v>1313</v>
      </c>
      <c r="I63">
        <v>1132</v>
      </c>
      <c r="J63">
        <v>1025</v>
      </c>
      <c r="K63">
        <v>1009</v>
      </c>
    </row>
    <row r="64" spans="1:11">
      <c r="A64" s="9" t="s">
        <v>29</v>
      </c>
      <c r="B64">
        <v>2592</v>
      </c>
      <c r="C64">
        <v>3794</v>
      </c>
      <c r="D64">
        <v>2873</v>
      </c>
      <c r="E64">
        <v>2716</v>
      </c>
      <c r="F64">
        <v>1255</v>
      </c>
      <c r="G64">
        <v>2709</v>
      </c>
      <c r="H64">
        <v>3521</v>
      </c>
      <c r="I64">
        <v>2882</v>
      </c>
      <c r="J64">
        <v>4625</v>
      </c>
      <c r="K64">
        <v>3810</v>
      </c>
    </row>
    <row r="65" spans="1:11">
      <c r="A65" s="9" t="s">
        <v>64</v>
      </c>
      <c r="B65">
        <v>8535</v>
      </c>
      <c r="C65">
        <v>7264</v>
      </c>
      <c r="D65">
        <v>10000</v>
      </c>
      <c r="E65">
        <v>10792</v>
      </c>
      <c r="F65">
        <v>12822</v>
      </c>
      <c r="G65">
        <v>13843</v>
      </c>
      <c r="H65">
        <v>14199</v>
      </c>
      <c r="I65">
        <v>16385</v>
      </c>
      <c r="J65">
        <v>19095</v>
      </c>
      <c r="K65">
        <v>20709</v>
      </c>
    </row>
    <row r="66" spans="1:11" s="1" customFormat="1">
      <c r="A66" s="1" t="s">
        <v>26</v>
      </c>
      <c r="B66">
        <v>14793</v>
      </c>
      <c r="C66">
        <v>15706</v>
      </c>
      <c r="D66">
        <v>17862</v>
      </c>
      <c r="E66">
        <v>18629</v>
      </c>
      <c r="F66">
        <v>20153</v>
      </c>
      <c r="G66">
        <v>68740</v>
      </c>
      <c r="H66">
        <v>70506</v>
      </c>
      <c r="I66">
        <v>73077</v>
      </c>
      <c r="J66">
        <v>78489</v>
      </c>
      <c r="K66">
        <v>79863</v>
      </c>
    </row>
    <row r="67" spans="1:11" s="9" customFormat="1">
      <c r="A67" s="9" t="s">
        <v>69</v>
      </c>
      <c r="B67">
        <v>1264</v>
      </c>
      <c r="C67">
        <v>1085</v>
      </c>
      <c r="D67">
        <v>1310</v>
      </c>
      <c r="E67">
        <v>1816</v>
      </c>
      <c r="F67">
        <v>1149</v>
      </c>
      <c r="G67">
        <v>1758</v>
      </c>
      <c r="H67">
        <v>2236</v>
      </c>
      <c r="I67">
        <v>3079</v>
      </c>
      <c r="J67">
        <v>2997</v>
      </c>
      <c r="K67">
        <v>3819</v>
      </c>
    </row>
    <row r="68" spans="1:11">
      <c r="A68" s="9" t="s">
        <v>45</v>
      </c>
      <c r="B68">
        <v>2726</v>
      </c>
      <c r="C68">
        <v>2541</v>
      </c>
      <c r="D68">
        <v>2513</v>
      </c>
      <c r="E68">
        <v>2574</v>
      </c>
      <c r="F68">
        <v>2767</v>
      </c>
      <c r="G68">
        <v>3579</v>
      </c>
      <c r="H68">
        <v>4096</v>
      </c>
      <c r="I68">
        <v>4251</v>
      </c>
      <c r="J68">
        <v>4022</v>
      </c>
      <c r="K68">
        <v>4415</v>
      </c>
    </row>
    <row r="69" spans="1:11">
      <c r="A69" s="5" t="s">
        <v>78</v>
      </c>
      <c r="B69">
        <v>3009</v>
      </c>
      <c r="C69">
        <v>1828</v>
      </c>
      <c r="D69">
        <v>3485</v>
      </c>
      <c r="E69">
        <v>3757</v>
      </c>
      <c r="F69">
        <v>5113</v>
      </c>
      <c r="G69">
        <v>4471</v>
      </c>
      <c r="H69">
        <v>3846</v>
      </c>
      <c r="I69">
        <v>4678</v>
      </c>
      <c r="J69">
        <v>7559</v>
      </c>
      <c r="K69">
        <v>7554</v>
      </c>
    </row>
    <row r="70" spans="1:11">
      <c r="A70" s="5" t="s">
        <v>65</v>
      </c>
      <c r="B70">
        <v>2163936971</v>
      </c>
      <c r="C70">
        <v>2164349639</v>
      </c>
      <c r="D70">
        <v>2164528777</v>
      </c>
      <c r="E70">
        <v>2164704405</v>
      </c>
      <c r="F70">
        <v>2164704405</v>
      </c>
      <c r="G70">
        <v>2349567819</v>
      </c>
      <c r="H70">
        <v>2349591262</v>
      </c>
      <c r="I70">
        <v>2349591262</v>
      </c>
      <c r="J70">
        <v>2349591262</v>
      </c>
      <c r="K70">
        <v>2349591262</v>
      </c>
    </row>
    <row r="71" spans="1:11">
      <c r="A71" s="5" t="s">
        <v>66</v>
      </c>
    </row>
    <row r="72" spans="1:11">
      <c r="A72" s="5" t="s">
        <v>79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>
      <c r="A74" s="9"/>
    </row>
    <row r="75" spans="1:11">
      <c r="A75" s="9"/>
    </row>
    <row r="76" spans="1:11">
      <c r="A76" s="9"/>
    </row>
    <row r="77" spans="1:11">
      <c r="A77" s="9"/>
    </row>
    <row r="78" spans="1:11">
      <c r="A78" s="9"/>
    </row>
    <row r="79" spans="1:11">
      <c r="A79" s="9"/>
    </row>
    <row r="80" spans="1:11">
      <c r="A80" s="1" t="s">
        <v>41</v>
      </c>
    </row>
    <row r="81" spans="1:11" s="24" customFormat="1">
      <c r="A81" s="23" t="s">
        <v>38</v>
      </c>
      <c r="B81" s="16">
        <v>42460</v>
      </c>
      <c r="C81" s="16">
        <v>42825</v>
      </c>
      <c r="D81" s="16">
        <v>43190</v>
      </c>
      <c r="E81" s="16">
        <v>43555</v>
      </c>
      <c r="F81" s="16">
        <v>43921</v>
      </c>
      <c r="G81" s="16">
        <v>44286</v>
      </c>
      <c r="H81" s="16">
        <v>44651</v>
      </c>
      <c r="I81" s="16">
        <v>45016</v>
      </c>
      <c r="J81" s="16">
        <v>45382</v>
      </c>
      <c r="K81" s="16">
        <v>45747</v>
      </c>
    </row>
    <row r="82" spans="1:11" s="1" customFormat="1">
      <c r="A82" s="9" t="s">
        <v>32</v>
      </c>
      <c r="B82">
        <v>4171</v>
      </c>
      <c r="C82">
        <v>5185</v>
      </c>
      <c r="D82">
        <v>6059</v>
      </c>
      <c r="E82">
        <v>5800</v>
      </c>
      <c r="F82">
        <v>7623</v>
      </c>
      <c r="G82">
        <v>9163</v>
      </c>
      <c r="H82">
        <v>9048</v>
      </c>
      <c r="I82">
        <v>9991</v>
      </c>
      <c r="J82">
        <v>15469</v>
      </c>
      <c r="K82">
        <v>11886</v>
      </c>
    </row>
    <row r="83" spans="1:11" s="9" customFormat="1">
      <c r="A83" s="9" t="s">
        <v>33</v>
      </c>
      <c r="B83">
        <v>-282</v>
      </c>
      <c r="C83">
        <v>-1173</v>
      </c>
      <c r="D83">
        <v>-1063</v>
      </c>
      <c r="E83">
        <v>-438</v>
      </c>
      <c r="F83">
        <v>1791</v>
      </c>
      <c r="G83">
        <v>-1228</v>
      </c>
      <c r="H83">
        <v>-1728</v>
      </c>
      <c r="I83">
        <v>-1484</v>
      </c>
      <c r="J83">
        <v>-5324</v>
      </c>
      <c r="K83">
        <v>6473</v>
      </c>
    </row>
    <row r="84" spans="1:11" s="9" customFormat="1">
      <c r="A84" s="9" t="s">
        <v>34</v>
      </c>
      <c r="B84">
        <v>-3864</v>
      </c>
      <c r="C84">
        <v>-4214</v>
      </c>
      <c r="D84">
        <v>-4975</v>
      </c>
      <c r="E84">
        <v>-5390</v>
      </c>
      <c r="F84">
        <v>-6819</v>
      </c>
      <c r="G84">
        <v>-9309</v>
      </c>
      <c r="H84">
        <v>-8015</v>
      </c>
      <c r="I84">
        <v>-8953</v>
      </c>
      <c r="J84">
        <v>-10034</v>
      </c>
      <c r="K84">
        <v>-13101</v>
      </c>
    </row>
    <row r="85" spans="1:11" s="1" customFormat="1">
      <c r="A85" s="9" t="s">
        <v>35</v>
      </c>
      <c r="B85">
        <v>25</v>
      </c>
      <c r="C85">
        <v>-202</v>
      </c>
      <c r="D85">
        <v>21</v>
      </c>
      <c r="E85">
        <v>-28</v>
      </c>
      <c r="F85">
        <v>2595</v>
      </c>
      <c r="G85">
        <v>-1374</v>
      </c>
      <c r="H85">
        <v>-695</v>
      </c>
      <c r="I85">
        <v>-446</v>
      </c>
      <c r="J85">
        <v>111</v>
      </c>
      <c r="K85">
        <v>5258</v>
      </c>
    </row>
    <row r="86" spans="1:11">
      <c r="A86" s="9"/>
    </row>
    <row r="87" spans="1:11">
      <c r="A87" s="9"/>
    </row>
    <row r="88" spans="1:11">
      <c r="A88" s="9"/>
    </row>
    <row r="89" spans="1:11">
      <c r="A89" s="9"/>
    </row>
    <row r="90" spans="1:11" s="1" customFormat="1">
      <c r="A90" s="1" t="s">
        <v>68</v>
      </c>
      <c r="B90">
        <v>832.17</v>
      </c>
      <c r="C90">
        <v>872.61</v>
      </c>
      <c r="D90">
        <v>1276.1099999999999</v>
      </c>
      <c r="E90">
        <v>1633.53</v>
      </c>
      <c r="F90">
        <v>2199.83</v>
      </c>
      <c r="G90">
        <v>2327.12</v>
      </c>
      <c r="H90">
        <v>1960.7</v>
      </c>
      <c r="I90">
        <v>2450.44</v>
      </c>
      <c r="J90">
        <v>2167.14</v>
      </c>
      <c r="K90">
        <v>2161.88</v>
      </c>
    </row>
    <row r="92" spans="1:11" s="1" customFormat="1">
      <c r="A92" s="1" t="s">
        <v>67</v>
      </c>
    </row>
    <row r="93" spans="1:11">
      <c r="A93" s="5" t="s">
        <v>80</v>
      </c>
      <c r="B93" s="27">
        <v>216.39</v>
      </c>
      <c r="C93" s="27">
        <v>216.43</v>
      </c>
      <c r="D93" s="27">
        <v>216.45</v>
      </c>
      <c r="E93" s="27">
        <v>216.47</v>
      </c>
      <c r="F93" s="27">
        <v>216.48</v>
      </c>
      <c r="G93" s="27">
        <v>234.96</v>
      </c>
      <c r="H93" s="27">
        <v>234.96</v>
      </c>
      <c r="I93" s="27">
        <v>234.96</v>
      </c>
      <c r="J93" s="27">
        <v>234.96</v>
      </c>
      <c r="K93" s="27">
        <v>234.96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O46"/>
  <sheetViews>
    <sheetView zoomScale="120" zoomScaleNormal="120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B44" sqref="B44"/>
    </sheetView>
  </sheetViews>
  <sheetFormatPr defaultColWidth="8.81640625" defaultRowHeight="14.5"/>
  <cols>
    <col min="1" max="1" width="20.6328125" style="6" customWidth="1"/>
    <col min="2" max="6" width="13.453125" style="6" customWidth="1"/>
    <col min="7" max="7" width="14.81640625" style="6" bestFit="1" customWidth="1"/>
    <col min="8" max="11" width="13.453125" style="6" customWidth="1"/>
    <col min="12" max="12" width="13.36328125" style="6" customWidth="1"/>
    <col min="13" max="14" width="12.1796875" style="6" customWidth="1"/>
    <col min="15" max="16384" width="8.81640625" style="6"/>
  </cols>
  <sheetData>
    <row r="1" spans="1:14" s="8" customFormat="1">
      <c r="A1" s="8" t="str">
        <f>'Data Sheet'!B1</f>
        <v>HINDUSTAN UNILEVER LTD</v>
      </c>
      <c r="H1" t="str">
        <f>UPDATE</f>
        <v/>
      </c>
      <c r="J1" s="3"/>
      <c r="K1" s="3"/>
      <c r="M1" s="8" t="s">
        <v>1</v>
      </c>
    </row>
    <row r="3" spans="1:14" s="2" customFormat="1">
      <c r="A3" s="15" t="s">
        <v>2</v>
      </c>
      <c r="B3" s="16">
        <f>'Data Sheet'!B16</f>
        <v>42460</v>
      </c>
      <c r="C3" s="16">
        <f>'Data Sheet'!C16</f>
        <v>42825</v>
      </c>
      <c r="D3" s="16">
        <f>'Data Sheet'!D16</f>
        <v>43190</v>
      </c>
      <c r="E3" s="16">
        <f>'Data Sheet'!E16</f>
        <v>43555</v>
      </c>
      <c r="F3" s="16">
        <f>'Data Sheet'!F16</f>
        <v>43921</v>
      </c>
      <c r="G3" s="16">
        <f>'Data Sheet'!G16</f>
        <v>44286</v>
      </c>
      <c r="H3" s="16">
        <f>'Data Sheet'!H16</f>
        <v>44651</v>
      </c>
      <c r="I3" s="16">
        <f>'Data Sheet'!I16</f>
        <v>45016</v>
      </c>
      <c r="J3" s="16">
        <f>'Data Sheet'!J16</f>
        <v>45382</v>
      </c>
      <c r="K3" s="16">
        <f>'Data Sheet'!K16</f>
        <v>45747</v>
      </c>
      <c r="L3" s="17" t="s">
        <v>3</v>
      </c>
      <c r="M3" s="17" t="s">
        <v>4</v>
      </c>
      <c r="N3" s="17" t="s">
        <v>5</v>
      </c>
    </row>
    <row r="4" spans="1:14" s="8" customFormat="1">
      <c r="A4" s="8" t="s">
        <v>6</v>
      </c>
      <c r="B4" s="1">
        <f>'Data Sheet'!B17</f>
        <v>32186</v>
      </c>
      <c r="C4" s="1">
        <f>'Data Sheet'!C17</f>
        <v>33162</v>
      </c>
      <c r="D4" s="1">
        <f>'Data Sheet'!D17</f>
        <v>35545</v>
      </c>
      <c r="E4" s="1">
        <f>'Data Sheet'!E17</f>
        <v>39310</v>
      </c>
      <c r="F4" s="1">
        <f>'Data Sheet'!F17</f>
        <v>39783</v>
      </c>
      <c r="G4" s="1">
        <f>'Data Sheet'!G17</f>
        <v>47028</v>
      </c>
      <c r="H4" s="1">
        <f>'Data Sheet'!H17</f>
        <v>52446</v>
      </c>
      <c r="I4" s="1">
        <f>'Data Sheet'!I17</f>
        <v>60580</v>
      </c>
      <c r="J4" s="1">
        <f>'Data Sheet'!J17</f>
        <v>61896</v>
      </c>
      <c r="K4" s="1">
        <f>'Data Sheet'!K17</f>
        <v>63121</v>
      </c>
      <c r="L4" s="1">
        <f>SUM(Quarters!H4:K4)</f>
        <v>64544</v>
      </c>
      <c r="M4" s="1">
        <f>$K4+M23*K4</f>
        <v>67142.014980470805</v>
      </c>
      <c r="N4" s="1">
        <f>$K4+N23*L4</f>
        <v>64576.080115967743</v>
      </c>
    </row>
    <row r="5" spans="1:14">
      <c r="A5" s="6" t="s">
        <v>7</v>
      </c>
      <c r="B5" s="9">
        <f>SUM('Data Sheet'!B18,'Data Sheet'!B20:B24, -1*'Data Sheet'!B19)</f>
        <v>26276</v>
      </c>
      <c r="C5" s="9">
        <f>SUM('Data Sheet'!C18,'Data Sheet'!C20:C24, -1*'Data Sheet'!C19)</f>
        <v>26834</v>
      </c>
      <c r="D5" s="9">
        <f>SUM('Data Sheet'!D18,'Data Sheet'!D20:D24, -1*'Data Sheet'!D19)</f>
        <v>28046</v>
      </c>
      <c r="E5" s="9">
        <f>SUM('Data Sheet'!E18,'Data Sheet'!E20:E24, -1*'Data Sheet'!E19)</f>
        <v>30430</v>
      </c>
      <c r="F5" s="9">
        <f>SUM('Data Sheet'!F18,'Data Sheet'!F20:F24, -1*'Data Sheet'!F19)</f>
        <v>29922</v>
      </c>
      <c r="G5" s="9">
        <f>SUM('Data Sheet'!G18,'Data Sheet'!G20:G24, -1*'Data Sheet'!G19)</f>
        <v>35402</v>
      </c>
      <c r="H5" s="9">
        <f>SUM('Data Sheet'!H18,'Data Sheet'!H20:H24, -1*'Data Sheet'!H19)</f>
        <v>39589</v>
      </c>
      <c r="I5" s="9">
        <f>SUM('Data Sheet'!I18,'Data Sheet'!I20:I24, -1*'Data Sheet'!I19)</f>
        <v>46433</v>
      </c>
      <c r="J5" s="9">
        <f>SUM('Data Sheet'!J18,'Data Sheet'!J20:J24, -1*'Data Sheet'!J19)</f>
        <v>47237</v>
      </c>
      <c r="K5" s="9">
        <f>SUM('Data Sheet'!K18,'Data Sheet'!K20:K24, -1*'Data Sheet'!K19)</f>
        <v>48278</v>
      </c>
      <c r="L5" s="9">
        <f>SUM(Quarters!H5:K5)</f>
        <v>49646</v>
      </c>
      <c r="M5" s="9">
        <f t="shared" ref="M5:N5" si="0">M4-M6</f>
        <v>51351.448258581062</v>
      </c>
      <c r="N5" s="9">
        <f t="shared" si="0"/>
        <v>49772.613226611553</v>
      </c>
    </row>
    <row r="6" spans="1:14" s="8" customFormat="1">
      <c r="A6" s="8" t="s">
        <v>8</v>
      </c>
      <c r="B6" s="1">
        <f>B4-B5</f>
        <v>5910</v>
      </c>
      <c r="C6" s="1">
        <f t="shared" ref="C6:K6" si="1">C4-C5</f>
        <v>6328</v>
      </c>
      <c r="D6" s="1">
        <f t="shared" si="1"/>
        <v>7499</v>
      </c>
      <c r="E6" s="1">
        <f t="shared" si="1"/>
        <v>8880</v>
      </c>
      <c r="F6" s="1">
        <f t="shared" si="1"/>
        <v>9861</v>
      </c>
      <c r="G6" s="1">
        <f t="shared" si="1"/>
        <v>11626</v>
      </c>
      <c r="H6" s="1">
        <f t="shared" si="1"/>
        <v>12857</v>
      </c>
      <c r="I6" s="1">
        <f t="shared" si="1"/>
        <v>14147</v>
      </c>
      <c r="J6" s="1">
        <f t="shared" si="1"/>
        <v>14659</v>
      </c>
      <c r="K6" s="1">
        <f t="shared" si="1"/>
        <v>14843</v>
      </c>
      <c r="L6" s="1">
        <f>SUM(Quarters!H6:K6)</f>
        <v>14898</v>
      </c>
      <c r="M6" s="1">
        <f>M4*M24</f>
        <v>15790.56672188974</v>
      </c>
      <c r="N6" s="1">
        <f>N4*N24</f>
        <v>14803.466889356188</v>
      </c>
    </row>
    <row r="7" spans="1:14">
      <c r="A7" s="6" t="s">
        <v>9</v>
      </c>
      <c r="B7" s="9">
        <f>'Data Sheet'!B25</f>
        <v>486</v>
      </c>
      <c r="C7" s="9">
        <f>'Data Sheet'!C25</f>
        <v>606</v>
      </c>
      <c r="D7" s="9">
        <f>'Data Sheet'!D25</f>
        <v>353</v>
      </c>
      <c r="E7" s="9">
        <f>'Data Sheet'!E25</f>
        <v>322</v>
      </c>
      <c r="F7" s="9">
        <f>'Data Sheet'!F25</f>
        <v>424</v>
      </c>
      <c r="G7" s="9">
        <f>'Data Sheet'!G25</f>
        <v>170</v>
      </c>
      <c r="H7" s="9">
        <f>'Data Sheet'!H25</f>
        <v>219</v>
      </c>
      <c r="I7" s="9">
        <f>'Data Sheet'!I25</f>
        <v>448</v>
      </c>
      <c r="J7" s="9">
        <f>'Data Sheet'!J25</f>
        <v>817</v>
      </c>
      <c r="K7" s="9">
        <f>'Data Sheet'!K25</f>
        <v>1322</v>
      </c>
      <c r="L7" s="9">
        <f>SUM(Quarters!H7:K7)</f>
        <v>4562</v>
      </c>
      <c r="M7" s="9">
        <v>0</v>
      </c>
      <c r="N7" s="9">
        <v>0</v>
      </c>
    </row>
    <row r="8" spans="1:14">
      <c r="A8" s="6" t="s">
        <v>10</v>
      </c>
      <c r="B8" s="9">
        <f>'Data Sheet'!B26</f>
        <v>353</v>
      </c>
      <c r="C8" s="9">
        <f>'Data Sheet'!C26</f>
        <v>432</v>
      </c>
      <c r="D8" s="9">
        <f>'Data Sheet'!D26</f>
        <v>520</v>
      </c>
      <c r="E8" s="9">
        <f>'Data Sheet'!E26</f>
        <v>565</v>
      </c>
      <c r="F8" s="9">
        <f>'Data Sheet'!F26</f>
        <v>1002</v>
      </c>
      <c r="G8" s="9">
        <f>'Data Sheet'!G26</f>
        <v>1074</v>
      </c>
      <c r="H8" s="9">
        <f>'Data Sheet'!H26</f>
        <v>1091</v>
      </c>
      <c r="I8" s="9">
        <f>'Data Sheet'!I26</f>
        <v>1137</v>
      </c>
      <c r="J8" s="9">
        <f>'Data Sheet'!J26</f>
        <v>1216</v>
      </c>
      <c r="K8" s="9">
        <f>'Data Sheet'!K26</f>
        <v>1355</v>
      </c>
      <c r="L8" s="9">
        <f>SUM(Quarters!H8:K8)</f>
        <v>1367</v>
      </c>
      <c r="M8" s="9">
        <f>+$L8</f>
        <v>1367</v>
      </c>
      <c r="N8" s="9">
        <f>+$L8</f>
        <v>1367</v>
      </c>
    </row>
    <row r="9" spans="1:14">
      <c r="A9" s="6" t="s">
        <v>11</v>
      </c>
      <c r="B9" s="9">
        <f>'Data Sheet'!B27</f>
        <v>17</v>
      </c>
      <c r="C9" s="9">
        <f>'Data Sheet'!C27</f>
        <v>35</v>
      </c>
      <c r="D9" s="9">
        <f>'Data Sheet'!D27</f>
        <v>26</v>
      </c>
      <c r="E9" s="9">
        <f>'Data Sheet'!E27</f>
        <v>33</v>
      </c>
      <c r="F9" s="9">
        <f>'Data Sheet'!F27</f>
        <v>118</v>
      </c>
      <c r="G9" s="9">
        <f>'Data Sheet'!G27</f>
        <v>117</v>
      </c>
      <c r="H9" s="9">
        <f>'Data Sheet'!H27</f>
        <v>106</v>
      </c>
      <c r="I9" s="9">
        <f>'Data Sheet'!I27</f>
        <v>114</v>
      </c>
      <c r="J9" s="9">
        <f>'Data Sheet'!J27</f>
        <v>334</v>
      </c>
      <c r="K9" s="9">
        <f>'Data Sheet'!K27</f>
        <v>395</v>
      </c>
      <c r="L9" s="9">
        <f>SUM(Quarters!H9:K9)</f>
        <v>419</v>
      </c>
      <c r="M9" s="9">
        <f>+$L9</f>
        <v>419</v>
      </c>
      <c r="N9" s="9">
        <f>+$L9</f>
        <v>419</v>
      </c>
    </row>
    <row r="10" spans="1:14">
      <c r="A10" s="6" t="s">
        <v>12</v>
      </c>
      <c r="B10" s="9">
        <f>'Data Sheet'!B28</f>
        <v>6026</v>
      </c>
      <c r="C10" s="9">
        <f>'Data Sheet'!C28</f>
        <v>6467</v>
      </c>
      <c r="D10" s="9">
        <f>'Data Sheet'!D28</f>
        <v>7306</v>
      </c>
      <c r="E10" s="9">
        <f>'Data Sheet'!E28</f>
        <v>8604</v>
      </c>
      <c r="F10" s="9">
        <f>'Data Sheet'!F28</f>
        <v>9165</v>
      </c>
      <c r="G10" s="9">
        <f>'Data Sheet'!G28</f>
        <v>10605</v>
      </c>
      <c r="H10" s="9">
        <f>'Data Sheet'!H28</f>
        <v>11879</v>
      </c>
      <c r="I10" s="9">
        <f>'Data Sheet'!I28</f>
        <v>13344</v>
      </c>
      <c r="J10" s="9">
        <f>'Data Sheet'!J28</f>
        <v>13926</v>
      </c>
      <c r="K10" s="9">
        <f>'Data Sheet'!K28</f>
        <v>14415</v>
      </c>
      <c r="L10" s="9">
        <f>SUM(Quarters!H10:K10)</f>
        <v>17674</v>
      </c>
      <c r="M10" s="9">
        <f>M6+M7-SUM(M8:M9)</f>
        <v>14004.56672188974</v>
      </c>
      <c r="N10" s="9">
        <f>N6+N7-SUM(N8:N9)</f>
        <v>13017.466889356188</v>
      </c>
    </row>
    <row r="11" spans="1:14">
      <c r="A11" s="6" t="s">
        <v>13</v>
      </c>
      <c r="B11" s="9">
        <f>'Data Sheet'!B29</f>
        <v>1875</v>
      </c>
      <c r="C11" s="9">
        <f>'Data Sheet'!C29</f>
        <v>1977</v>
      </c>
      <c r="D11" s="9">
        <f>'Data Sheet'!D29</f>
        <v>2079</v>
      </c>
      <c r="E11" s="9">
        <f>'Data Sheet'!E29</f>
        <v>2544</v>
      </c>
      <c r="F11" s="9">
        <f>'Data Sheet'!F29</f>
        <v>2409</v>
      </c>
      <c r="G11" s="9">
        <f>'Data Sheet'!G29</f>
        <v>2606</v>
      </c>
      <c r="H11" s="9">
        <f>'Data Sheet'!H29</f>
        <v>2987</v>
      </c>
      <c r="I11" s="9">
        <f>'Data Sheet'!I29</f>
        <v>3201</v>
      </c>
      <c r="J11" s="9">
        <f>'Data Sheet'!J29</f>
        <v>3644</v>
      </c>
      <c r="K11" s="9">
        <f>'Data Sheet'!K29</f>
        <v>3744</v>
      </c>
      <c r="L11" s="9">
        <f>SUM(Quarters!H11:K11)</f>
        <v>3134</v>
      </c>
      <c r="M11" s="10">
        <f>IF($L10&gt;0,$L11/$L10,0)</f>
        <v>0.17732262079891367</v>
      </c>
      <c r="N11" s="10">
        <f>IF($L10&gt;0,$L11/$L10,0)</f>
        <v>0.17732262079891367</v>
      </c>
    </row>
    <row r="12" spans="1:14" s="8" customFormat="1">
      <c r="A12" s="8" t="s">
        <v>14</v>
      </c>
      <c r="B12" s="1">
        <f>'Data Sheet'!B30</f>
        <v>4151</v>
      </c>
      <c r="C12" s="1">
        <f>'Data Sheet'!C30</f>
        <v>4476</v>
      </c>
      <c r="D12" s="1">
        <f>'Data Sheet'!D30</f>
        <v>5214</v>
      </c>
      <c r="E12" s="1">
        <f>'Data Sheet'!E30</f>
        <v>6054</v>
      </c>
      <c r="F12" s="1">
        <f>'Data Sheet'!F30</f>
        <v>6748</v>
      </c>
      <c r="G12" s="1">
        <f>'Data Sheet'!G30</f>
        <v>7995</v>
      </c>
      <c r="H12" s="1">
        <f>'Data Sheet'!H30</f>
        <v>8879</v>
      </c>
      <c r="I12" s="1">
        <f>'Data Sheet'!I30</f>
        <v>10120</v>
      </c>
      <c r="J12" s="1">
        <f>'Data Sheet'!J30</f>
        <v>10277</v>
      </c>
      <c r="K12" s="1">
        <f>'Data Sheet'!K30</f>
        <v>10649</v>
      </c>
      <c r="L12" s="1">
        <f>SUM(Quarters!H12:K12)</f>
        <v>14512</v>
      </c>
      <c r="M12" s="1">
        <f>M10-M11*M10</f>
        <v>11521.240247611</v>
      </c>
      <c r="N12" s="1">
        <f>N10-N11*N10</f>
        <v>10709.175544372467</v>
      </c>
    </row>
    <row r="13" spans="1:14">
      <c r="A13" s="11" t="s">
        <v>48</v>
      </c>
      <c r="B13" s="9">
        <f>IF('Data Sheet'!B93&gt;0,B12/'Data Sheet'!B93,0)</f>
        <v>19.182956698553539</v>
      </c>
      <c r="C13" s="9">
        <f>IF('Data Sheet'!C93&gt;0,C12/'Data Sheet'!C93,0)</f>
        <v>20.681051610220393</v>
      </c>
      <c r="D13" s="9">
        <f>IF('Data Sheet'!D93&gt;0,D12/'Data Sheet'!D93,0)</f>
        <v>24.088704088704091</v>
      </c>
      <c r="E13" s="9">
        <f>IF('Data Sheet'!E93&gt;0,E12/'Data Sheet'!E93,0)</f>
        <v>27.966923823162563</v>
      </c>
      <c r="F13" s="9">
        <f>IF('Data Sheet'!F93&gt;0,F12/'Data Sheet'!F93,0)</f>
        <v>31.171470805617147</v>
      </c>
      <c r="G13" s="9">
        <f>IF('Data Sheet'!G93&gt;0,G12/'Data Sheet'!G93,0)</f>
        <v>34.027068437180795</v>
      </c>
      <c r="H13" s="9">
        <f>IF('Data Sheet'!H93&gt;0,H12/'Data Sheet'!H93,0)</f>
        <v>37.789410963568265</v>
      </c>
      <c r="I13" s="9">
        <f>IF('Data Sheet'!I93&gt;0,I12/'Data Sheet'!I93,0)</f>
        <v>43.071161048689135</v>
      </c>
      <c r="J13" s="9">
        <f>IF('Data Sheet'!J93&gt;0,J12/'Data Sheet'!J93,0)</f>
        <v>43.739359891045282</v>
      </c>
      <c r="K13" s="9">
        <f>IF('Data Sheet'!K93&gt;0,K12/'Data Sheet'!K93,0)</f>
        <v>45.32260810350698</v>
      </c>
      <c r="L13" s="9">
        <f>IF('Data Sheet'!$B6&gt;0,'Profit &amp; Loss'!L12/'Data Sheet'!$B6,0)</f>
        <v>61.742641670318307</v>
      </c>
      <c r="M13" s="9">
        <f>IF('Data Sheet'!$B6&gt;0,'Profit &amp; Loss'!M12/'Data Sheet'!$B6,0)</f>
        <v>49.018178624992785</v>
      </c>
      <c r="N13" s="9">
        <f>IF('Data Sheet'!$B6&gt;0,'Profit &amp; Loss'!N12/'Data Sheet'!$B6,0)</f>
        <v>45.563174491505322</v>
      </c>
    </row>
    <row r="14" spans="1:14">
      <c r="A14" s="6" t="s">
        <v>16</v>
      </c>
      <c r="B14" s="9">
        <f>IF(B15&gt;0,B15/B13,"")</f>
        <v>43.380695326427357</v>
      </c>
      <c r="C14" s="9">
        <f t="shared" ref="C14:K14" si="2">IF(C15&gt;0,C15/C13,"")</f>
        <v>42.193695777479896</v>
      </c>
      <c r="D14" s="9">
        <f t="shared" si="2"/>
        <v>52.975452531645558</v>
      </c>
      <c r="E14" s="9">
        <f t="shared" si="2"/>
        <v>58.409355649157582</v>
      </c>
      <c r="F14" s="9">
        <f t="shared" si="2"/>
        <v>70.571902548903381</v>
      </c>
      <c r="G14" s="9">
        <f t="shared" si="2"/>
        <v>68.390258311444654</v>
      </c>
      <c r="H14" s="9">
        <f t="shared" si="2"/>
        <v>51.88490505687578</v>
      </c>
      <c r="I14" s="9">
        <f t="shared" si="2"/>
        <v>56.892824347826092</v>
      </c>
      <c r="J14" s="9">
        <f t="shared" si="2"/>
        <v>49.546678447017612</v>
      </c>
      <c r="K14" s="9">
        <f t="shared" si="2"/>
        <v>47.699814517795097</v>
      </c>
      <c r="L14" s="9">
        <f t="shared" ref="L14" si="3">IF(L13&gt;0,L15/L13,0)</f>
        <v>36.624607221609708</v>
      </c>
      <c r="M14" s="9">
        <f>M25</f>
        <v>47.690981133562133</v>
      </c>
      <c r="N14" s="9">
        <f>N25</f>
        <v>36.624607221609708</v>
      </c>
    </row>
    <row r="15" spans="1:14" s="8" customFormat="1">
      <c r="A15" s="8" t="s">
        <v>49</v>
      </c>
      <c r="B15" s="1">
        <f>'Data Sheet'!B90</f>
        <v>832.17</v>
      </c>
      <c r="C15" s="1">
        <f>'Data Sheet'!C90</f>
        <v>872.61</v>
      </c>
      <c r="D15" s="1">
        <f>'Data Sheet'!D90</f>
        <v>1276.1099999999999</v>
      </c>
      <c r="E15" s="1">
        <f>'Data Sheet'!E90</f>
        <v>1633.53</v>
      </c>
      <c r="F15" s="1">
        <f>'Data Sheet'!F90</f>
        <v>2199.83</v>
      </c>
      <c r="G15" s="1">
        <f>'Data Sheet'!G90</f>
        <v>2327.12</v>
      </c>
      <c r="H15" s="1">
        <f>'Data Sheet'!H90</f>
        <v>1960.7</v>
      </c>
      <c r="I15" s="1">
        <f>'Data Sheet'!I90</f>
        <v>2450.44</v>
      </c>
      <c r="J15" s="1">
        <f>'Data Sheet'!J90</f>
        <v>2167.14</v>
      </c>
      <c r="K15" s="1">
        <f>'Data Sheet'!K90</f>
        <v>2161.88</v>
      </c>
      <c r="L15" s="1">
        <f>'Data Sheet'!B8</f>
        <v>2261.3000000000002</v>
      </c>
      <c r="M15" s="12">
        <f>M13*M14</f>
        <v>2337.7250320061094</v>
      </c>
      <c r="N15" s="13">
        <f>N13*N14</f>
        <v>1668.7333695210491</v>
      </c>
    </row>
    <row r="17" spans="1:15" s="8" customFormat="1">
      <c r="A17" s="8" t="s">
        <v>15</v>
      </c>
    </row>
    <row r="18" spans="1:15">
      <c r="A18" s="6" t="s">
        <v>17</v>
      </c>
      <c r="B18" s="7">
        <f>IF('Data Sheet'!B30&gt;0, 'Data Sheet'!B31/'Data Sheet'!B30, 0)</f>
        <v>0.8325704649482053</v>
      </c>
      <c r="C18" s="7">
        <f>IF('Data Sheet'!C30&gt;0, 'Data Sheet'!C31/'Data Sheet'!C30, 0)</f>
        <v>0.82037533512064342</v>
      </c>
      <c r="D18" s="7">
        <f>IF('Data Sheet'!D30&gt;0, 'Data Sheet'!D31/'Data Sheet'!D30, 0)</f>
        <v>0.8285385500575374</v>
      </c>
      <c r="E18" s="7">
        <f>IF('Data Sheet'!E30&gt;0, 'Data Sheet'!E31/'Data Sheet'!E30, 0)</f>
        <v>0.78493557978196238</v>
      </c>
      <c r="F18" s="7">
        <f>IF('Data Sheet'!F30&gt;0, 'Data Sheet'!F31/'Data Sheet'!F30, 0)</f>
        <v>0.80023710729104924</v>
      </c>
      <c r="G18" s="7">
        <f>IF('Data Sheet'!G30&gt;0, 'Data Sheet'!G31/'Data Sheet'!G30, 0)</f>
        <v>1.1904315196998123</v>
      </c>
      <c r="H18" s="7">
        <f>IF('Data Sheet'!H30&gt;0, 'Data Sheet'!H31/'Data Sheet'!H30, 0)</f>
        <v>0.89987611217479446</v>
      </c>
      <c r="I18" s="7">
        <f>IF('Data Sheet'!I30&gt;0, 'Data Sheet'!I31/'Data Sheet'!I30, 0)</f>
        <v>0.90563241106719372</v>
      </c>
      <c r="J18" s="7">
        <f>IF('Data Sheet'!J30&gt;0, 'Data Sheet'!J31/'Data Sheet'!J30, 0)</f>
        <v>0.96039700301644448</v>
      </c>
      <c r="K18" s="7">
        <f>IF('Data Sheet'!K30&gt;0, 'Data Sheet'!K31/'Data Sheet'!K30, 0)</f>
        <v>1.1695933890506152</v>
      </c>
    </row>
    <row r="19" spans="1:15">
      <c r="A19" s="6" t="s">
        <v>18</v>
      </c>
      <c r="B19" s="7">
        <f t="shared" ref="B19:L19" si="4">IF(B6&gt;0,B6/B4,0)</f>
        <v>0.18362020754365252</v>
      </c>
      <c r="C19" s="7">
        <f t="shared" ref="C19:K19" si="5">IF(C6&gt;0,C6/C4,0)</f>
        <v>0.1908208190097099</v>
      </c>
      <c r="D19" s="7">
        <f t="shared" si="5"/>
        <v>0.21097200731467156</v>
      </c>
      <c r="E19" s="7">
        <f t="shared" si="5"/>
        <v>0.2258967183922666</v>
      </c>
      <c r="F19" s="7">
        <f t="shared" si="5"/>
        <v>0.24786969308498605</v>
      </c>
      <c r="G19" s="7">
        <f t="shared" si="5"/>
        <v>0.24721442544866887</v>
      </c>
      <c r="H19" s="7">
        <f t="shared" si="5"/>
        <v>0.24514738969606834</v>
      </c>
      <c r="I19" s="7">
        <f t="shared" si="5"/>
        <v>0.23352591614394189</v>
      </c>
      <c r="J19" s="7">
        <f t="shared" si="5"/>
        <v>0.23683275171255008</v>
      </c>
      <c r="K19" s="7">
        <f t="shared" si="5"/>
        <v>0.23515153435465216</v>
      </c>
      <c r="L19" s="7">
        <f t="shared" si="4"/>
        <v>0.23081928606841845</v>
      </c>
    </row>
    <row r="20" spans="1:1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5" s="2" customFormat="1">
      <c r="A22" s="15"/>
      <c r="B22" s="16"/>
      <c r="C22" s="16"/>
      <c r="D22" s="16"/>
      <c r="E22" s="16"/>
      <c r="F22" s="16"/>
      <c r="G22" s="16" t="s">
        <v>19</v>
      </c>
      <c r="H22" s="16" t="s">
        <v>56</v>
      </c>
      <c r="I22" s="16" t="s">
        <v>57</v>
      </c>
      <c r="J22" s="16" t="s">
        <v>58</v>
      </c>
      <c r="K22" s="16" t="s">
        <v>59</v>
      </c>
      <c r="L22" s="17" t="s">
        <v>60</v>
      </c>
      <c r="M22" s="17" t="s">
        <v>20</v>
      </c>
      <c r="N22" s="17" t="s">
        <v>21</v>
      </c>
    </row>
    <row r="23" spans="1:15" s="8" customFormat="1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7.7707146164861518E-2</v>
      </c>
      <c r="I23" s="7">
        <f>IF(D4=0,"",POWER($K4/D4,1/7)-1)</f>
        <v>8.5495200164738439E-2</v>
      </c>
      <c r="J23" s="7">
        <f>IF(F4=0,"",POWER($K4/F4,1/5)-1)</f>
        <v>9.6718749336330845E-2</v>
      </c>
      <c r="K23" s="7">
        <f>IF(H4=0,"",POWER($K4/H4, 1/3)-1)</f>
        <v>6.3703283859108728E-2</v>
      </c>
      <c r="L23" s="7">
        <f>IF(ISERROR(MAX(IF(J4=0,"",(K4-J4)/J4),IF(K4=0,"",(L4-K4)/K4))),"",MAX(IF(J4=0,"",(K4-J4)/J4),IF(K4=0,"",(L4-K4)/K4)))</f>
        <v>2.2544002788295495E-2</v>
      </c>
      <c r="M23" s="22">
        <f>MAX(K23:L23)</f>
        <v>6.3703283859108728E-2</v>
      </c>
      <c r="N23" s="22">
        <f>MIN(H23:L23)</f>
        <v>2.2544002788295495E-2</v>
      </c>
    </row>
    <row r="24" spans="1:15">
      <c r="G24" s="6" t="s">
        <v>18</v>
      </c>
      <c r="H24" s="7">
        <f>IF(SUM(B4:$K$4)=0,"",SUMPRODUCT(B19:$K$19,B4:$K$4)/SUM(B4:$K$4))</f>
        <v>0.22924071672934715</v>
      </c>
      <c r="I24" s="7">
        <f>IF(SUM(E4:$K$4)=0,"",SUMPRODUCT(E19:$K$19,E4:$K$4)/SUM(E4:$K$4))</f>
        <v>0.23855460726485869</v>
      </c>
      <c r="J24" s="7">
        <f>IF(SUM(G4:$K$4)=0,"",SUMPRODUCT(G19:$K$19,G4:$K$4)/SUM(G4:$K$4))</f>
        <v>0.23900010874483901</v>
      </c>
      <c r="K24" s="7">
        <f>IF(SUM(I4:$K$4)=0, "", SUMPRODUCT(I19:$K$19,I4:$K$4)/SUM(I4:$K$4))</f>
        <v>0.23518160315091299</v>
      </c>
      <c r="L24" s="7">
        <f>L19</f>
        <v>0.23081928606841845</v>
      </c>
      <c r="M24" s="22">
        <f>MAX(K24:L24)</f>
        <v>0.23518160315091299</v>
      </c>
      <c r="N24" s="22">
        <f>MIN(H24:L24)</f>
        <v>0.22924071672934715</v>
      </c>
    </row>
    <row r="25" spans="1:15">
      <c r="G25" s="6" t="s">
        <v>23</v>
      </c>
      <c r="H25" s="9">
        <f>IF(ISERROR(AVERAGEIF(B14:$L14,"&gt;0")),"",AVERAGEIF(B14:$L14,"&gt;0"))</f>
        <v>52.597289976016604</v>
      </c>
      <c r="I25" s="9">
        <f>IF(ISERROR(AVERAGEIF(E14:$L14,"&gt;0")),"",AVERAGEIF(E14:$L14,"&gt;0"))</f>
        <v>55.00254326257874</v>
      </c>
      <c r="J25" s="9">
        <f>IF(ISERROR(AVERAGEIF(G14:$L14,"&gt;0")),"",AVERAGEIF(G14:$L14,"&gt;0"))</f>
        <v>51.839847983761494</v>
      </c>
      <c r="K25" s="9">
        <f>IF(ISERROR(AVERAGEIF(I14:$L14,"&gt;0")),"",AVERAGEIF(I14:$L14,"&gt;0"))</f>
        <v>47.690981133562133</v>
      </c>
      <c r="L25" s="9">
        <f>L14</f>
        <v>36.624607221609708</v>
      </c>
      <c r="M25" s="1">
        <f>MAX(K25:L25)</f>
        <v>47.690981133562133</v>
      </c>
      <c r="N25" s="1">
        <f>MIN(H25:L25)</f>
        <v>36.624607221609708</v>
      </c>
    </row>
    <row r="27" spans="1:15">
      <c r="A27" s="11" t="s">
        <v>87</v>
      </c>
      <c r="C27" s="38">
        <f>C4/B4-1</f>
        <v>3.03237432424035E-2</v>
      </c>
      <c r="D27" s="38">
        <f t="shared" ref="D27:K27" si="6">D4/C4-1</f>
        <v>7.1859357095470644E-2</v>
      </c>
      <c r="E27" s="38">
        <f t="shared" si="6"/>
        <v>0.1059220706147137</v>
      </c>
      <c r="F27" s="38">
        <f t="shared" si="6"/>
        <v>1.2032561689137689E-2</v>
      </c>
      <c r="G27" s="38">
        <f t="shared" si="6"/>
        <v>0.18211296282331646</v>
      </c>
      <c r="H27" s="38">
        <f t="shared" si="6"/>
        <v>0.11520796121459553</v>
      </c>
      <c r="I27" s="38">
        <f t="shared" si="6"/>
        <v>0.15509285741524614</v>
      </c>
      <c r="J27" s="38">
        <f t="shared" si="6"/>
        <v>2.1723341036645749E-2</v>
      </c>
      <c r="K27" s="38">
        <f t="shared" si="6"/>
        <v>1.9791262763344974E-2</v>
      </c>
    </row>
    <row r="29" spans="1:15">
      <c r="A29" s="11" t="s">
        <v>88</v>
      </c>
      <c r="B29" s="6">
        <f>'Data Sheet'!B17-'Data Sheet'!B18-'Data Sheet'!B19-'Data Sheet'!B20-'Data Sheet'!B21</f>
        <v>15810</v>
      </c>
      <c r="C29" s="6">
        <f>'Data Sheet'!C17-'Data Sheet'!C18-'Data Sheet'!C19-'Data Sheet'!C20-'Data Sheet'!C21</f>
        <v>16518</v>
      </c>
      <c r="D29" s="6">
        <f>'Data Sheet'!D17-'Data Sheet'!D18-'Data Sheet'!D19-'Data Sheet'!D20-'Data Sheet'!D21</f>
        <v>17947</v>
      </c>
      <c r="E29" s="6">
        <f>'Data Sheet'!E17-'Data Sheet'!E18-'Data Sheet'!E19-'Data Sheet'!E20-'Data Sheet'!E21</f>
        <v>20128</v>
      </c>
      <c r="F29" s="6">
        <f>'Data Sheet'!F17-'Data Sheet'!F18-'Data Sheet'!F19-'Data Sheet'!F20-'Data Sheet'!F21</f>
        <v>20773</v>
      </c>
      <c r="G29" s="6">
        <f>'Data Sheet'!G17-'Data Sheet'!G18-'Data Sheet'!G19-'Data Sheet'!G20-'Data Sheet'!G21</f>
        <v>23275</v>
      </c>
      <c r="H29" s="6">
        <f>'Data Sheet'!H17-'Data Sheet'!H18-'Data Sheet'!H19-'Data Sheet'!H20-'Data Sheet'!H21</f>
        <v>25881</v>
      </c>
      <c r="I29" s="6">
        <f>'Data Sheet'!I17-'Data Sheet'!I18-'Data Sheet'!I19-'Data Sheet'!I20-'Data Sheet'!I21</f>
        <v>27903</v>
      </c>
      <c r="J29" s="6">
        <f>'Data Sheet'!J17-'Data Sheet'!J18-'Data Sheet'!J19-'Data Sheet'!J20-'Data Sheet'!J21</f>
        <v>31232</v>
      </c>
      <c r="K29" s="6">
        <f>'Data Sheet'!K17-'Data Sheet'!K18-'Data Sheet'!K19-'Data Sheet'!K20-'Data Sheet'!K21</f>
        <v>31363</v>
      </c>
    </row>
    <row r="30" spans="1:15">
      <c r="A30" s="11" t="s">
        <v>89</v>
      </c>
      <c r="B30" s="38">
        <f>B29/B4</f>
        <v>0.49120735723606535</v>
      </c>
      <c r="C30" s="38">
        <f t="shared" ref="C30:K30" si="7">C29/C4</f>
        <v>0.49810023520897412</v>
      </c>
      <c r="D30" s="38">
        <f t="shared" si="7"/>
        <v>0.50490926993951324</v>
      </c>
      <c r="E30" s="38">
        <f t="shared" si="7"/>
        <v>0.51203256168913758</v>
      </c>
      <c r="F30" s="38">
        <f t="shared" si="7"/>
        <v>0.52215770555262297</v>
      </c>
      <c r="G30" s="38">
        <f t="shared" si="7"/>
        <v>0.49491792123841116</v>
      </c>
      <c r="H30" s="38">
        <f t="shared" si="7"/>
        <v>0.49347900697860658</v>
      </c>
      <c r="I30" s="38">
        <f t="shared" si="7"/>
        <v>0.46059755694948828</v>
      </c>
      <c r="J30" s="38">
        <f t="shared" si="7"/>
        <v>0.50458834173452238</v>
      </c>
      <c r="K30" s="38">
        <f t="shared" si="7"/>
        <v>0.49687108886107634</v>
      </c>
    </row>
    <row r="31" spans="1:15">
      <c r="A31" s="18" t="s">
        <v>91</v>
      </c>
      <c r="B31" s="38">
        <f>B6/B4</f>
        <v>0.18362020754365252</v>
      </c>
      <c r="C31" s="38">
        <f t="shared" ref="C31:K31" si="8">C6/C4</f>
        <v>0.1908208190097099</v>
      </c>
      <c r="D31" s="38">
        <f t="shared" si="8"/>
        <v>0.21097200731467156</v>
      </c>
      <c r="E31" s="38">
        <f t="shared" si="8"/>
        <v>0.2258967183922666</v>
      </c>
      <c r="F31" s="38">
        <f t="shared" si="8"/>
        <v>0.24786969308498605</v>
      </c>
      <c r="G31" s="38">
        <f t="shared" si="8"/>
        <v>0.24721442544866887</v>
      </c>
      <c r="H31" s="38">
        <f t="shared" si="8"/>
        <v>0.24514738969606834</v>
      </c>
      <c r="I31" s="38">
        <f t="shared" si="8"/>
        <v>0.23352591614394189</v>
      </c>
      <c r="J31" s="38">
        <f t="shared" si="8"/>
        <v>0.23683275171255008</v>
      </c>
      <c r="K31" s="38">
        <f t="shared" si="8"/>
        <v>0.23515153435465216</v>
      </c>
    </row>
    <row r="32" spans="1:15">
      <c r="A32" s="18" t="s">
        <v>95</v>
      </c>
      <c r="B32" s="38">
        <f>B12/B4</f>
        <v>0.12896911700739452</v>
      </c>
      <c r="C32" s="38">
        <f t="shared" ref="C32:K32" si="9">C12/C4</f>
        <v>0.13497376515288584</v>
      </c>
      <c r="D32" s="38">
        <f t="shared" si="9"/>
        <v>0.14668729779153186</v>
      </c>
      <c r="E32" s="38">
        <f t="shared" si="9"/>
        <v>0.15400661409310609</v>
      </c>
      <c r="F32" s="38">
        <f t="shared" si="9"/>
        <v>0.16962018952819044</v>
      </c>
      <c r="G32" s="38">
        <f t="shared" si="9"/>
        <v>0.17000510334268945</v>
      </c>
      <c r="H32" s="38">
        <f t="shared" si="9"/>
        <v>0.16929794455249209</v>
      </c>
      <c r="I32" s="38">
        <f t="shared" si="9"/>
        <v>0.16705183228788378</v>
      </c>
      <c r="J32" s="38">
        <f t="shared" si="9"/>
        <v>0.16603657748481324</v>
      </c>
      <c r="K32" s="38">
        <f t="shared" si="9"/>
        <v>0.16870772009315441</v>
      </c>
      <c r="L32" s="38"/>
      <c r="M32" s="38"/>
      <c r="N32" s="38"/>
      <c r="O32" s="38"/>
    </row>
    <row r="33" spans="1:11">
      <c r="A33" s="18" t="s">
        <v>94</v>
      </c>
      <c r="B33" s="38">
        <f>(B6-B8)/B4</f>
        <v>0.17265270614552911</v>
      </c>
      <c r="C33" s="38">
        <f t="shared" ref="C33:K33" si="10">(C6-C8)/C4</f>
        <v>0.17779386044267534</v>
      </c>
      <c r="D33" s="38">
        <f t="shared" si="10"/>
        <v>0.19634266422844282</v>
      </c>
      <c r="E33" s="38">
        <f t="shared" si="10"/>
        <v>0.21152378529636226</v>
      </c>
      <c r="F33" s="38">
        <f t="shared" si="10"/>
        <v>0.22268305557650253</v>
      </c>
      <c r="G33" s="38">
        <f t="shared" si="10"/>
        <v>0.22437696691332823</v>
      </c>
      <c r="H33" s="38">
        <f t="shared" si="10"/>
        <v>0.22434504061320215</v>
      </c>
      <c r="I33" s="38">
        <f t="shared" si="10"/>
        <v>0.21475734565863322</v>
      </c>
      <c r="J33" s="38">
        <f t="shared" si="10"/>
        <v>0.21718689414501746</v>
      </c>
      <c r="K33" s="38">
        <f t="shared" si="10"/>
        <v>0.21368482755342913</v>
      </c>
    </row>
    <row r="34" spans="1:11">
      <c r="A34" s="18" t="s">
        <v>99</v>
      </c>
      <c r="C34" s="38">
        <f>C13/B13-1</f>
        <v>7.8095099478581176E-2</v>
      </c>
      <c r="D34" s="38">
        <f t="shared" ref="D34:K34" si="11">D13/C13-1</f>
        <v>0.16477172160818299</v>
      </c>
      <c r="E34" s="38">
        <f t="shared" si="11"/>
        <v>0.16099744179584508</v>
      </c>
      <c r="F34" s="38">
        <f t="shared" si="11"/>
        <v>0.11458346304789302</v>
      </c>
      <c r="G34" s="38">
        <f t="shared" si="11"/>
        <v>9.1609332436410451E-2</v>
      </c>
      <c r="H34" s="38">
        <f t="shared" si="11"/>
        <v>0.11056910569105693</v>
      </c>
      <c r="I34" s="38">
        <f t="shared" si="11"/>
        <v>0.13976799189097866</v>
      </c>
      <c r="J34" s="38">
        <f t="shared" si="11"/>
        <v>1.5513833992094828E-2</v>
      </c>
      <c r="K34" s="38">
        <f t="shared" si="11"/>
        <v>3.6197333852291624E-2</v>
      </c>
    </row>
    <row r="35" spans="1:11">
      <c r="A35" s="18" t="s">
        <v>100</v>
      </c>
      <c r="B35" s="40">
        <f>B13*B18</f>
        <v>15.97116317759601</v>
      </c>
      <c r="C35" s="40">
        <f t="shared" ref="C35:K35" si="12">C13*C18</f>
        <v>16.966224645381878</v>
      </c>
      <c r="D35" s="40">
        <f t="shared" si="12"/>
        <v>19.95841995841996</v>
      </c>
      <c r="E35" s="40">
        <f t="shared" si="12"/>
        <v>21.952233565852083</v>
      </c>
      <c r="F35" s="40">
        <f t="shared" si="12"/>
        <v>24.944567627494457</v>
      </c>
      <c r="G35" s="40">
        <f t="shared" si="12"/>
        <v>40.506894790602651</v>
      </c>
      <c r="H35" s="40">
        <f t="shared" si="12"/>
        <v>34.005788219271366</v>
      </c>
      <c r="I35" s="40">
        <f t="shared" si="12"/>
        <v>39.006639427987743</v>
      </c>
      <c r="J35" s="40">
        <f t="shared" si="12"/>
        <v>42.007150153217566</v>
      </c>
      <c r="K35" s="40">
        <f t="shared" si="12"/>
        <v>53.009022812393603</v>
      </c>
    </row>
    <row r="36" spans="1:11">
      <c r="A36" s="18" t="s">
        <v>101</v>
      </c>
      <c r="C36" s="38">
        <f>C35/B35-1</f>
        <v>6.2303631659196723E-2</v>
      </c>
      <c r="D36" s="38">
        <f t="shared" ref="D36:K36" si="13">D35/C35-1</f>
        <v>0.17636188224423521</v>
      </c>
      <c r="E36" s="38">
        <f t="shared" si="13"/>
        <v>9.989836928904694E-2</v>
      </c>
      <c r="F36" s="38">
        <f t="shared" si="13"/>
        <v>0.13631114358664242</v>
      </c>
      <c r="G36" s="38">
        <f t="shared" si="13"/>
        <v>0.62387640449438186</v>
      </c>
      <c r="H36" s="38">
        <f t="shared" si="13"/>
        <v>-0.16049382716049365</v>
      </c>
      <c r="I36" s="38">
        <f t="shared" si="13"/>
        <v>0.14705882352941169</v>
      </c>
      <c r="J36" s="38">
        <f t="shared" si="13"/>
        <v>7.6923076923076872E-2</v>
      </c>
      <c r="K36" s="38">
        <f t="shared" si="13"/>
        <v>0.26190476190476208</v>
      </c>
    </row>
    <row r="38" spans="1:11">
      <c r="A38" s="25" t="s">
        <v>106</v>
      </c>
      <c r="B38" s="44">
        <f>'Data Sheet'!B93*'Data Sheet'!B90</f>
        <v>180073.26629999999</v>
      </c>
      <c r="C38" s="44">
        <f>'Data Sheet'!C93*'Data Sheet'!C90</f>
        <v>188858.9823</v>
      </c>
      <c r="D38" s="44">
        <f>'Data Sheet'!D93*'Data Sheet'!D90</f>
        <v>276214.00949999999</v>
      </c>
      <c r="E38" s="44">
        <f>'Data Sheet'!E93*'Data Sheet'!E90</f>
        <v>353610.23910000001</v>
      </c>
      <c r="F38" s="44">
        <f>'Data Sheet'!F93*'Data Sheet'!F90</f>
        <v>476219.19839999994</v>
      </c>
      <c r="G38" s="44">
        <f>'Data Sheet'!G93*'Data Sheet'!G90</f>
        <v>546780.1152</v>
      </c>
      <c r="H38" s="44">
        <f>'Data Sheet'!H93*'Data Sheet'!H90</f>
        <v>460686.07200000004</v>
      </c>
      <c r="I38" s="44">
        <f>'Data Sheet'!I93*'Data Sheet'!I90</f>
        <v>575755.3824</v>
      </c>
      <c r="J38" s="44">
        <f>'Data Sheet'!J93*'Data Sheet'!J90</f>
        <v>509191.2144</v>
      </c>
      <c r="K38" s="44">
        <f>'Data Sheet'!K93*'Data Sheet'!K90</f>
        <v>507955.32480000006</v>
      </c>
    </row>
    <row r="39" spans="1:11">
      <c r="A39" s="25" t="s">
        <v>107</v>
      </c>
      <c r="B39" s="6">
        <f>'Data Sheet'!B59</f>
        <v>177</v>
      </c>
      <c r="C39" s="6">
        <f>'Data Sheet'!C59</f>
        <v>277</v>
      </c>
      <c r="D39" s="6">
        <f>'Data Sheet'!D59</f>
        <v>0</v>
      </c>
      <c r="E39" s="6">
        <f>'Data Sheet'!E59</f>
        <v>99</v>
      </c>
      <c r="F39" s="6">
        <f>'Data Sheet'!F59</f>
        <v>0</v>
      </c>
      <c r="G39" s="6">
        <f>'Data Sheet'!G59</f>
        <v>0</v>
      </c>
      <c r="H39" s="6">
        <f>'Data Sheet'!H59</f>
        <v>1043</v>
      </c>
      <c r="I39" s="6">
        <f>'Data Sheet'!I59</f>
        <v>1219</v>
      </c>
      <c r="J39" s="6">
        <f>'Data Sheet'!J59</f>
        <v>1484</v>
      </c>
      <c r="K39" s="6">
        <f>'Data Sheet'!K59</f>
        <v>1648</v>
      </c>
    </row>
    <row r="40" spans="1:11">
      <c r="A40" s="25" t="s">
        <v>108</v>
      </c>
      <c r="B40" s="6">
        <f>'Data Sheet'!B69</f>
        <v>3009</v>
      </c>
      <c r="C40" s="6">
        <f>'Data Sheet'!C69</f>
        <v>1828</v>
      </c>
      <c r="D40" s="6">
        <f>'Data Sheet'!D69</f>
        <v>3485</v>
      </c>
      <c r="E40" s="6">
        <f>'Data Sheet'!E69</f>
        <v>3757</v>
      </c>
      <c r="F40" s="6">
        <f>'Data Sheet'!F69</f>
        <v>5113</v>
      </c>
      <c r="G40" s="6">
        <f>'Data Sheet'!G69</f>
        <v>4471</v>
      </c>
      <c r="H40" s="6">
        <f>'Data Sheet'!H69</f>
        <v>3846</v>
      </c>
      <c r="I40" s="6">
        <f>'Data Sheet'!I69</f>
        <v>4678</v>
      </c>
      <c r="J40" s="6">
        <f>'Data Sheet'!J69</f>
        <v>7559</v>
      </c>
      <c r="K40" s="6">
        <f>'Data Sheet'!K69</f>
        <v>7554</v>
      </c>
    </row>
    <row r="41" spans="1:11">
      <c r="A41" s="25" t="s">
        <v>109</v>
      </c>
      <c r="B41" s="44">
        <f>B38+B39-B40</f>
        <v>177241.26629999999</v>
      </c>
      <c r="C41" s="44">
        <f t="shared" ref="C41:K41" si="14">C38+C39-C40</f>
        <v>187307.9823</v>
      </c>
      <c r="D41" s="44">
        <f t="shared" si="14"/>
        <v>272729.00949999999</v>
      </c>
      <c r="E41" s="44">
        <f t="shared" si="14"/>
        <v>349952.23910000001</v>
      </c>
      <c r="F41" s="44">
        <f t="shared" si="14"/>
        <v>471106.19839999994</v>
      </c>
      <c r="G41" s="44">
        <f t="shared" si="14"/>
        <v>542309.1152</v>
      </c>
      <c r="H41" s="44">
        <f t="shared" si="14"/>
        <v>457883.07200000004</v>
      </c>
      <c r="I41" s="44">
        <f t="shared" si="14"/>
        <v>572296.3824</v>
      </c>
      <c r="J41" s="44">
        <f t="shared" si="14"/>
        <v>503116.2144</v>
      </c>
      <c r="K41" s="44">
        <f t="shared" si="14"/>
        <v>502049.32480000006</v>
      </c>
    </row>
    <row r="43" spans="1:11">
      <c r="A43" s="18" t="s">
        <v>110</v>
      </c>
      <c r="B43" s="40">
        <f>B41/B6</f>
        <v>29.99006197969543</v>
      </c>
      <c r="C43" s="40">
        <f t="shared" ref="C43:K43" si="15">C41/C6</f>
        <v>29.599870780657398</v>
      </c>
      <c r="D43" s="40">
        <f t="shared" si="15"/>
        <v>36.368717095612745</v>
      </c>
      <c r="E43" s="40">
        <f t="shared" si="15"/>
        <v>39.409035934684688</v>
      </c>
      <c r="F43" s="40">
        <f t="shared" si="15"/>
        <v>47.774688003245103</v>
      </c>
      <c r="G43" s="40">
        <f t="shared" si="15"/>
        <v>46.646233889557891</v>
      </c>
      <c r="H43" s="40">
        <f t="shared" si="15"/>
        <v>35.613523528039202</v>
      </c>
      <c r="I43" s="40">
        <f t="shared" si="15"/>
        <v>40.453550745741147</v>
      </c>
      <c r="J43" s="40">
        <f t="shared" si="15"/>
        <v>34.321318943993454</v>
      </c>
      <c r="K43" s="40">
        <f t="shared" si="15"/>
        <v>33.823979303375332</v>
      </c>
    </row>
    <row r="44" spans="1:11">
      <c r="A44" s="18" t="s">
        <v>111</v>
      </c>
      <c r="B44" s="40">
        <f>B41/B4</f>
        <v>5.5067814049586774</v>
      </c>
      <c r="C44" s="40">
        <f t="shared" ref="C44:K44" si="16">C41/C4</f>
        <v>5.6482715849466256</v>
      </c>
      <c r="D44" s="40">
        <f t="shared" si="16"/>
        <v>7.672781249120832</v>
      </c>
      <c r="E44" s="40">
        <f t="shared" si="16"/>
        <v>8.9023718926481816</v>
      </c>
      <c r="F44" s="40">
        <f t="shared" si="16"/>
        <v>11.841897252595327</v>
      </c>
      <c r="G44" s="40">
        <f t="shared" si="16"/>
        <v>11.53162191035128</v>
      </c>
      <c r="H44" s="40">
        <f t="shared" si="16"/>
        <v>8.7305623307783247</v>
      </c>
      <c r="I44" s="40">
        <f t="shared" si="16"/>
        <v>9.4469524991746443</v>
      </c>
      <c r="J44" s="40">
        <f t="shared" si="16"/>
        <v>8.1284124079100426</v>
      </c>
      <c r="K44" s="40">
        <f t="shared" si="16"/>
        <v>7.9537606311687084</v>
      </c>
    </row>
    <row r="46" spans="1:11">
      <c r="A46" s="25" t="s">
        <v>113</v>
      </c>
      <c r="B46" s="40">
        <f>B38/'Balance Sheet'!B26</f>
        <v>27.395902373345503</v>
      </c>
      <c r="C46" s="40">
        <f>C38/'Balance Sheet'!C26</f>
        <v>28.004000934163702</v>
      </c>
      <c r="D46" s="40">
        <f>D38/'Balance Sheet'!D26</f>
        <v>37.9362737948084</v>
      </c>
      <c r="E46" s="40">
        <f>E38/'Balance Sheet'!E26</f>
        <v>44.948549523325283</v>
      </c>
      <c r="F46" s="40">
        <f>F38/'Balance Sheet'!F26</f>
        <v>57.87084681006197</v>
      </c>
      <c r="G46" s="40">
        <f>G38/'Balance Sheet'!G26</f>
        <v>11.469147023534841</v>
      </c>
      <c r="H46" s="40">
        <f>H38/'Balance Sheet'!H26</f>
        <v>9.3900668963127547</v>
      </c>
      <c r="I46" s="40">
        <f>I38/'Balance Sheet'!I26</f>
        <v>11.445518893129771</v>
      </c>
      <c r="J46" s="40">
        <f>J38/'Balance Sheet'!J26</f>
        <v>9.9416457963997029</v>
      </c>
      <c r="K46" s="40">
        <f>K38/'Balance Sheet'!K26</f>
        <v>10.282080174891705</v>
      </c>
    </row>
  </sheetData>
  <hyperlinks>
    <hyperlink ref="M1" r:id="rId1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/>
  <cols>
    <col min="1" max="1" width="20.6328125" style="6" customWidth="1"/>
    <col min="2" max="11" width="13.453125" style="6" bestFit="1" customWidth="1"/>
    <col min="12" max="16384" width="8.81640625" style="6"/>
  </cols>
  <sheetData>
    <row r="1" spans="1:11" s="8" customFormat="1">
      <c r="A1" s="8" t="str">
        <f>'Profit &amp; Loss'!A1</f>
        <v>HINDUSTAN UNILEVER LTD</v>
      </c>
      <c r="E1" t="str">
        <f>UPDATE</f>
        <v/>
      </c>
      <c r="J1" s="4" t="s">
        <v>1</v>
      </c>
      <c r="K1" s="4"/>
    </row>
    <row r="3" spans="1:11" s="2" customFormat="1">
      <c r="A3" s="15" t="s">
        <v>2</v>
      </c>
      <c r="B3" s="16">
        <f>'Data Sheet'!B41</f>
        <v>45199</v>
      </c>
      <c r="C3" s="16">
        <f>'Data Sheet'!C41</f>
        <v>45291</v>
      </c>
      <c r="D3" s="16">
        <f>'Data Sheet'!D41</f>
        <v>45382</v>
      </c>
      <c r="E3" s="16">
        <f>'Data Sheet'!E41</f>
        <v>45473</v>
      </c>
      <c r="F3" s="16">
        <f>'Data Sheet'!F41</f>
        <v>45565</v>
      </c>
      <c r="G3" s="16">
        <f>'Data Sheet'!G41</f>
        <v>45657</v>
      </c>
      <c r="H3" s="16">
        <f>'Data Sheet'!H41</f>
        <v>45747</v>
      </c>
      <c r="I3" s="16">
        <f>'Data Sheet'!I41</f>
        <v>45838</v>
      </c>
      <c r="J3" s="16">
        <f>'Data Sheet'!J41</f>
        <v>45930</v>
      </c>
      <c r="K3" s="16">
        <f>'Data Sheet'!K41</f>
        <v>46022</v>
      </c>
    </row>
    <row r="4" spans="1:11" s="8" customFormat="1">
      <c r="A4" s="8" t="s">
        <v>6</v>
      </c>
      <c r="B4" s="1">
        <f>'Data Sheet'!B42</f>
        <v>15623</v>
      </c>
      <c r="C4" s="1">
        <f>'Data Sheet'!C42</f>
        <v>15567</v>
      </c>
      <c r="D4" s="1">
        <f>'Data Sheet'!D42</f>
        <v>15210</v>
      </c>
      <c r="E4" s="1">
        <f>'Data Sheet'!E42</f>
        <v>15707</v>
      </c>
      <c r="F4" s="1">
        <f>'Data Sheet'!F42</f>
        <v>15926</v>
      </c>
      <c r="G4" s="1">
        <f>'Data Sheet'!G42</f>
        <v>15556</v>
      </c>
      <c r="H4" s="1">
        <f>'Data Sheet'!H42</f>
        <v>15670</v>
      </c>
      <c r="I4" s="1">
        <f>'Data Sheet'!I42</f>
        <v>16514</v>
      </c>
      <c r="J4" s="1">
        <f>'Data Sheet'!J42</f>
        <v>15919</v>
      </c>
      <c r="K4" s="1">
        <f>'Data Sheet'!K42</f>
        <v>16441</v>
      </c>
    </row>
    <row r="5" spans="1:11">
      <c r="A5" s="6" t="s">
        <v>7</v>
      </c>
      <c r="B5" s="9">
        <f>'Data Sheet'!B43</f>
        <v>11828</v>
      </c>
      <c r="C5" s="9">
        <f>'Data Sheet'!C43</f>
        <v>11902</v>
      </c>
      <c r="D5" s="9">
        <f>'Data Sheet'!D43</f>
        <v>11675</v>
      </c>
      <c r="E5" s="9">
        <f>'Data Sheet'!E43</f>
        <v>11965</v>
      </c>
      <c r="F5" s="9">
        <f>'Data Sheet'!F43</f>
        <v>12139</v>
      </c>
      <c r="G5" s="9">
        <f>'Data Sheet'!G43</f>
        <v>11867</v>
      </c>
      <c r="H5" s="9">
        <f>'Data Sheet'!H43</f>
        <v>12052</v>
      </c>
      <c r="I5" s="9">
        <f>'Data Sheet'!I43</f>
        <v>12797</v>
      </c>
      <c r="J5" s="9">
        <f>'Data Sheet'!J43</f>
        <v>12137</v>
      </c>
      <c r="K5" s="9">
        <f>'Data Sheet'!K43</f>
        <v>12660</v>
      </c>
    </row>
    <row r="6" spans="1:11" s="8" customFormat="1">
      <c r="A6" s="8" t="s">
        <v>8</v>
      </c>
      <c r="B6" s="1">
        <f>'Data Sheet'!B50</f>
        <v>3795</v>
      </c>
      <c r="C6" s="1">
        <f>'Data Sheet'!C50</f>
        <v>3665</v>
      </c>
      <c r="D6" s="1">
        <f>'Data Sheet'!D50</f>
        <v>3535</v>
      </c>
      <c r="E6" s="1">
        <f>'Data Sheet'!E50</f>
        <v>3742</v>
      </c>
      <c r="F6" s="1">
        <f>'Data Sheet'!F50</f>
        <v>3787</v>
      </c>
      <c r="G6" s="1">
        <f>'Data Sheet'!G50</f>
        <v>3689</v>
      </c>
      <c r="H6" s="1">
        <f>'Data Sheet'!H50</f>
        <v>3618</v>
      </c>
      <c r="I6" s="1">
        <f>'Data Sheet'!I50</f>
        <v>3717</v>
      </c>
      <c r="J6" s="1">
        <f>'Data Sheet'!J50</f>
        <v>3782</v>
      </c>
      <c r="K6" s="1">
        <f>'Data Sheet'!K50</f>
        <v>3781</v>
      </c>
    </row>
    <row r="7" spans="1:11">
      <c r="A7" s="6" t="s">
        <v>9</v>
      </c>
      <c r="B7" s="9">
        <f>'Data Sheet'!B44</f>
        <v>178</v>
      </c>
      <c r="C7" s="9">
        <f>'Data Sheet'!C44</f>
        <v>184</v>
      </c>
      <c r="D7" s="9">
        <f>'Data Sheet'!D44</f>
        <v>309</v>
      </c>
      <c r="E7" s="9">
        <f>'Data Sheet'!E44</f>
        <v>209</v>
      </c>
      <c r="F7" s="9">
        <f>'Data Sheet'!F44</f>
        <v>203</v>
      </c>
      <c r="G7" s="9">
        <f>'Data Sheet'!G44</f>
        <v>733</v>
      </c>
      <c r="H7" s="9">
        <f>'Data Sheet'!H44</f>
        <v>171</v>
      </c>
      <c r="I7" s="9">
        <f>'Data Sheet'!I44</f>
        <v>74</v>
      </c>
      <c r="J7" s="9">
        <f>'Data Sheet'!J44</f>
        <v>269</v>
      </c>
      <c r="K7" s="9">
        <f>'Data Sheet'!K44</f>
        <v>4048</v>
      </c>
    </row>
    <row r="8" spans="1:11">
      <c r="A8" s="6" t="s">
        <v>10</v>
      </c>
      <c r="B8" s="9">
        <f>'Data Sheet'!B45</f>
        <v>297</v>
      </c>
      <c r="C8" s="9">
        <f>'Data Sheet'!C45</f>
        <v>313</v>
      </c>
      <c r="D8" s="9">
        <f>'Data Sheet'!D45</f>
        <v>320</v>
      </c>
      <c r="E8" s="9">
        <f>'Data Sheet'!E45</f>
        <v>329</v>
      </c>
      <c r="F8" s="9">
        <f>'Data Sheet'!F45</f>
        <v>338</v>
      </c>
      <c r="G8" s="9">
        <f>'Data Sheet'!G45</f>
        <v>318</v>
      </c>
      <c r="H8" s="9">
        <f>'Data Sheet'!H45</f>
        <v>347</v>
      </c>
      <c r="I8" s="9">
        <f>'Data Sheet'!I45</f>
        <v>361</v>
      </c>
      <c r="J8" s="9">
        <f>'Data Sheet'!J45</f>
        <v>322</v>
      </c>
      <c r="K8" s="9">
        <f>'Data Sheet'!K45</f>
        <v>337</v>
      </c>
    </row>
    <row r="9" spans="1:11">
      <c r="A9" s="6" t="s">
        <v>11</v>
      </c>
      <c r="B9" s="9">
        <f>'Data Sheet'!B46</f>
        <v>88</v>
      </c>
      <c r="C9" s="9">
        <f>'Data Sheet'!C46</f>
        <v>91</v>
      </c>
      <c r="D9" s="9">
        <f>'Data Sheet'!D46</f>
        <v>105</v>
      </c>
      <c r="E9" s="9">
        <f>'Data Sheet'!E46</f>
        <v>93</v>
      </c>
      <c r="F9" s="9">
        <f>'Data Sheet'!F46</f>
        <v>110</v>
      </c>
      <c r="G9" s="9">
        <f>'Data Sheet'!G46</f>
        <v>109</v>
      </c>
      <c r="H9" s="9">
        <f>'Data Sheet'!H46</f>
        <v>80</v>
      </c>
      <c r="I9" s="9">
        <f>'Data Sheet'!I46</f>
        <v>127</v>
      </c>
      <c r="J9" s="9">
        <f>'Data Sheet'!J46</f>
        <v>124</v>
      </c>
      <c r="K9" s="9">
        <f>'Data Sheet'!K46</f>
        <v>88</v>
      </c>
    </row>
    <row r="10" spans="1:11">
      <c r="A10" s="6" t="s">
        <v>12</v>
      </c>
      <c r="B10" s="9">
        <f>'Data Sheet'!B47</f>
        <v>3588</v>
      </c>
      <c r="C10" s="9">
        <f>'Data Sheet'!C47</f>
        <v>3445</v>
      </c>
      <c r="D10" s="9">
        <f>'Data Sheet'!D47</f>
        <v>3419</v>
      </c>
      <c r="E10" s="9">
        <f>'Data Sheet'!E47</f>
        <v>3529</v>
      </c>
      <c r="F10" s="9">
        <f>'Data Sheet'!F47</f>
        <v>3542</v>
      </c>
      <c r="G10" s="9">
        <f>'Data Sheet'!G47</f>
        <v>3995</v>
      </c>
      <c r="H10" s="9">
        <f>'Data Sheet'!H47</f>
        <v>3362</v>
      </c>
      <c r="I10" s="9">
        <f>'Data Sheet'!I47</f>
        <v>3303</v>
      </c>
      <c r="J10" s="9">
        <f>'Data Sheet'!J47</f>
        <v>3605</v>
      </c>
      <c r="K10" s="9">
        <f>'Data Sheet'!K47</f>
        <v>7404</v>
      </c>
    </row>
    <row r="11" spans="1:11">
      <c r="A11" s="6" t="s">
        <v>13</v>
      </c>
      <c r="B11" s="9">
        <f>'Data Sheet'!B48</f>
        <v>931</v>
      </c>
      <c r="C11" s="9">
        <f>'Data Sheet'!C48</f>
        <v>937</v>
      </c>
      <c r="D11" s="9">
        <f>'Data Sheet'!D48</f>
        <v>858</v>
      </c>
      <c r="E11" s="9">
        <f>'Data Sheet'!E48</f>
        <v>917</v>
      </c>
      <c r="F11" s="9">
        <f>'Data Sheet'!F48</f>
        <v>947</v>
      </c>
      <c r="G11" s="9">
        <f>'Data Sheet'!G48</f>
        <v>1006</v>
      </c>
      <c r="H11" s="9">
        <f>'Data Sheet'!H48</f>
        <v>887</v>
      </c>
      <c r="I11" s="9">
        <f>'Data Sheet'!I48</f>
        <v>535</v>
      </c>
      <c r="J11" s="9">
        <f>'Data Sheet'!J48</f>
        <v>911</v>
      </c>
      <c r="K11" s="9">
        <f>'Data Sheet'!K48</f>
        <v>801</v>
      </c>
    </row>
    <row r="12" spans="1:11" s="8" customFormat="1">
      <c r="A12" s="8" t="s">
        <v>14</v>
      </c>
      <c r="B12" s="1">
        <f>'Data Sheet'!B49</f>
        <v>2656</v>
      </c>
      <c r="C12" s="1">
        <f>'Data Sheet'!C49</f>
        <v>2509</v>
      </c>
      <c r="D12" s="1">
        <f>'Data Sheet'!D49</f>
        <v>2558</v>
      </c>
      <c r="E12" s="1">
        <f>'Data Sheet'!E49</f>
        <v>2610</v>
      </c>
      <c r="F12" s="1">
        <f>'Data Sheet'!F49</f>
        <v>2591</v>
      </c>
      <c r="G12" s="1">
        <f>'Data Sheet'!G49</f>
        <v>2984</v>
      </c>
      <c r="H12" s="1">
        <f>'Data Sheet'!H49</f>
        <v>2464</v>
      </c>
      <c r="I12" s="1">
        <f>'Data Sheet'!I49</f>
        <v>2756</v>
      </c>
      <c r="J12" s="1">
        <f>'Data Sheet'!J49</f>
        <v>2685</v>
      </c>
      <c r="K12" s="1">
        <f>'Data Sheet'!K49</f>
        <v>6607</v>
      </c>
    </row>
    <row r="14" spans="1:11" s="8" customFormat="1">
      <c r="A14" s="2" t="s">
        <v>18</v>
      </c>
      <c r="B14" s="14">
        <f>IF(B4&gt;0,B6/B4,"")</f>
        <v>0.24291109261985533</v>
      </c>
      <c r="C14" s="14">
        <f t="shared" ref="C14:K14" si="0">IF(C4&gt;0,C6/C4,"")</f>
        <v>0.23543393075094751</v>
      </c>
      <c r="D14" s="14">
        <f t="shared" si="0"/>
        <v>0.23241288625904011</v>
      </c>
      <c r="E14" s="14">
        <f t="shared" si="0"/>
        <v>0.23823772840134971</v>
      </c>
      <c r="F14" s="14">
        <f t="shared" si="0"/>
        <v>0.23778726610573905</v>
      </c>
      <c r="G14" s="14">
        <f t="shared" si="0"/>
        <v>0.23714322447930059</v>
      </c>
      <c r="H14" s="14">
        <f t="shared" si="0"/>
        <v>0.23088704530950863</v>
      </c>
      <c r="I14" s="14">
        <f t="shared" si="0"/>
        <v>0.22508174881918372</v>
      </c>
      <c r="J14" s="14">
        <f t="shared" si="0"/>
        <v>0.23757773729505621</v>
      </c>
      <c r="K14" s="14">
        <f t="shared" si="0"/>
        <v>0.22997384587312208</v>
      </c>
    </row>
    <row r="22" s="26" customFormat="1"/>
  </sheetData>
  <hyperlinks>
    <hyperlink ref="J1" r:id="rId1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3">
    <pageSetUpPr fitToPage="1"/>
  </sheetPr>
  <dimension ref="A1:K24"/>
  <sheetViews>
    <sheetView zoomScale="150" zoomScaleNormal="150" zoomScalePageLayoutView="150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/>
  <cols>
    <col min="1" max="1" width="26.81640625" style="6" bestFit="1" customWidth="1"/>
    <col min="2" max="6" width="13.453125" style="6" customWidth="1"/>
    <col min="7" max="11" width="13.453125" style="6" bestFit="1" customWidth="1"/>
    <col min="12" max="16384" width="8.81640625" style="6"/>
  </cols>
  <sheetData>
    <row r="1" spans="1:11" s="8" customFormat="1">
      <c r="A1" s="8" t="str">
        <f>'Balance Sheet'!A1</f>
        <v>HINDUSTAN UNILEVER LTD</v>
      </c>
      <c r="E1" t="str">
        <f>UPDATE</f>
        <v/>
      </c>
      <c r="F1"/>
      <c r="J1" s="4" t="s">
        <v>1</v>
      </c>
      <c r="K1" s="4"/>
    </row>
    <row r="3" spans="1:11" s="2" customFormat="1">
      <c r="A3" s="15" t="s">
        <v>2</v>
      </c>
      <c r="B3" s="16">
        <f>'Data Sheet'!B81</f>
        <v>42460</v>
      </c>
      <c r="C3" s="16">
        <f>'Data Sheet'!C81</f>
        <v>42825</v>
      </c>
      <c r="D3" s="16">
        <f>'Data Sheet'!D81</f>
        <v>43190</v>
      </c>
      <c r="E3" s="16">
        <f>'Data Sheet'!E81</f>
        <v>43555</v>
      </c>
      <c r="F3" s="16">
        <f>'Data Sheet'!F81</f>
        <v>43921</v>
      </c>
      <c r="G3" s="16">
        <f>'Data Sheet'!G81</f>
        <v>44286</v>
      </c>
      <c r="H3" s="16">
        <f>'Data Sheet'!H81</f>
        <v>44651</v>
      </c>
      <c r="I3" s="16">
        <f>'Data Sheet'!I81</f>
        <v>45016</v>
      </c>
      <c r="J3" s="16">
        <f>'Data Sheet'!J81</f>
        <v>45382</v>
      </c>
      <c r="K3" s="16">
        <f>'Data Sheet'!K81</f>
        <v>45747</v>
      </c>
    </row>
    <row r="4" spans="1:11" s="8" customFormat="1">
      <c r="A4" s="8" t="s">
        <v>32</v>
      </c>
      <c r="B4" s="1">
        <f>'Data Sheet'!B82</f>
        <v>4171</v>
      </c>
      <c r="C4" s="1">
        <f>'Data Sheet'!C82</f>
        <v>5185</v>
      </c>
      <c r="D4" s="1">
        <f>'Data Sheet'!D82</f>
        <v>6059</v>
      </c>
      <c r="E4" s="1">
        <f>'Data Sheet'!E82</f>
        <v>5800</v>
      </c>
      <c r="F4" s="1">
        <f>'Data Sheet'!F82</f>
        <v>7623</v>
      </c>
      <c r="G4" s="1">
        <f>'Data Sheet'!G82</f>
        <v>9163</v>
      </c>
      <c r="H4" s="1">
        <f>'Data Sheet'!H82</f>
        <v>9048</v>
      </c>
      <c r="I4" s="1">
        <f>'Data Sheet'!I82</f>
        <v>9991</v>
      </c>
      <c r="J4" s="1">
        <f>'Data Sheet'!J82</f>
        <v>15469</v>
      </c>
      <c r="K4" s="1">
        <f>'Data Sheet'!K82</f>
        <v>11886</v>
      </c>
    </row>
    <row r="5" spans="1:11">
      <c r="A5" s="6" t="s">
        <v>33</v>
      </c>
      <c r="B5" s="9">
        <f>'Data Sheet'!B83</f>
        <v>-282</v>
      </c>
      <c r="C5" s="9">
        <f>'Data Sheet'!C83</f>
        <v>-1173</v>
      </c>
      <c r="D5" s="9">
        <f>'Data Sheet'!D83</f>
        <v>-1063</v>
      </c>
      <c r="E5" s="9">
        <f>'Data Sheet'!E83</f>
        <v>-438</v>
      </c>
      <c r="F5" s="9">
        <f>'Data Sheet'!F83</f>
        <v>1791</v>
      </c>
      <c r="G5" s="9">
        <f>'Data Sheet'!G83</f>
        <v>-1228</v>
      </c>
      <c r="H5" s="9">
        <f>'Data Sheet'!H83</f>
        <v>-1728</v>
      </c>
      <c r="I5" s="9">
        <f>'Data Sheet'!I83</f>
        <v>-1484</v>
      </c>
      <c r="J5" s="9">
        <f>'Data Sheet'!J83</f>
        <v>-5324</v>
      </c>
      <c r="K5" s="9">
        <f>'Data Sheet'!K83</f>
        <v>6473</v>
      </c>
    </row>
    <row r="6" spans="1:11">
      <c r="A6" s="6" t="s">
        <v>34</v>
      </c>
      <c r="B6" s="9">
        <f>'Data Sheet'!B84</f>
        <v>-3864</v>
      </c>
      <c r="C6" s="9">
        <f>'Data Sheet'!C84</f>
        <v>-4214</v>
      </c>
      <c r="D6" s="9">
        <f>'Data Sheet'!D84</f>
        <v>-4975</v>
      </c>
      <c r="E6" s="9">
        <f>'Data Sheet'!E84</f>
        <v>-5390</v>
      </c>
      <c r="F6" s="9">
        <f>'Data Sheet'!F84</f>
        <v>-6819</v>
      </c>
      <c r="G6" s="9">
        <f>'Data Sheet'!G84</f>
        <v>-9309</v>
      </c>
      <c r="H6" s="9">
        <f>'Data Sheet'!H84</f>
        <v>-8015</v>
      </c>
      <c r="I6" s="9">
        <f>'Data Sheet'!I84</f>
        <v>-8953</v>
      </c>
      <c r="J6" s="9">
        <f>'Data Sheet'!J84</f>
        <v>-10034</v>
      </c>
      <c r="K6" s="9">
        <f>'Data Sheet'!K84</f>
        <v>-13101</v>
      </c>
    </row>
    <row r="7" spans="1:11" s="8" customFormat="1">
      <c r="A7" s="8" t="s">
        <v>35</v>
      </c>
      <c r="B7" s="1">
        <f>'Data Sheet'!B85</f>
        <v>25</v>
      </c>
      <c r="C7" s="1">
        <f>'Data Sheet'!C85</f>
        <v>-202</v>
      </c>
      <c r="D7" s="1">
        <f>'Data Sheet'!D85</f>
        <v>21</v>
      </c>
      <c r="E7" s="1">
        <f>'Data Sheet'!E85</f>
        <v>-28</v>
      </c>
      <c r="F7" s="1">
        <f>'Data Sheet'!F85</f>
        <v>2595</v>
      </c>
      <c r="G7" s="1">
        <f>'Data Sheet'!G85</f>
        <v>-1374</v>
      </c>
      <c r="H7" s="1">
        <f>'Data Sheet'!H85</f>
        <v>-695</v>
      </c>
      <c r="I7" s="1">
        <f>'Data Sheet'!I85</f>
        <v>-446</v>
      </c>
      <c r="J7" s="1">
        <f>'Data Sheet'!J85</f>
        <v>111</v>
      </c>
      <c r="K7" s="1">
        <f>'Data Sheet'!K85</f>
        <v>5258</v>
      </c>
    </row>
    <row r="8" spans="1:11">
      <c r="A8" s="25"/>
      <c r="B8" s="9"/>
      <c r="C8" s="9"/>
      <c r="D8" s="9"/>
      <c r="E8" s="9"/>
      <c r="F8" s="9"/>
      <c r="G8" s="9"/>
      <c r="H8" s="9"/>
      <c r="I8" s="9"/>
      <c r="J8" s="9"/>
      <c r="K8" s="9"/>
    </row>
    <row r="24" s="25" customFormat="1"/>
  </sheetData>
  <hyperlinks>
    <hyperlink ref="J1" r:id="rId1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2">
    <pageSetUpPr fitToPage="1"/>
  </sheetPr>
  <dimension ref="A1:K26"/>
  <sheetViews>
    <sheetView zoomScale="125" workbookViewId="0">
      <pane xSplit="1" ySplit="3" topLeftCell="B13" activePane="bottomRight" state="frozen"/>
      <selection activeCell="C4" sqref="C4"/>
      <selection pane="topRight" activeCell="C4" sqref="C4"/>
      <selection pane="bottomLeft" activeCell="C4" sqref="C4"/>
      <selection pane="bottomRight" activeCell="A27" sqref="A27"/>
    </sheetView>
  </sheetViews>
  <sheetFormatPr defaultColWidth="8.81640625" defaultRowHeight="14.5"/>
  <cols>
    <col min="1" max="1" width="22.81640625" style="11" bestFit="1" customWidth="1"/>
    <col min="2" max="2" width="13.453125" style="11" customWidth="1"/>
    <col min="3" max="11" width="15.453125" style="11" customWidth="1"/>
    <col min="12" max="16384" width="8.81640625" style="11"/>
  </cols>
  <sheetData>
    <row r="1" spans="1:11" s="8" customFormat="1">
      <c r="A1" s="8" t="str">
        <f>'Profit &amp; Loss'!A1</f>
        <v>HINDUSTAN UNILEVER LTD</v>
      </c>
      <c r="E1" t="str">
        <f>UPDATE</f>
        <v/>
      </c>
      <c r="G1"/>
      <c r="J1" s="4" t="s">
        <v>1</v>
      </c>
      <c r="K1" s="4"/>
    </row>
    <row r="2" spans="1:11">
      <c r="G2" s="8"/>
      <c r="H2" s="8"/>
    </row>
    <row r="3" spans="1:11" s="18" customFormat="1">
      <c r="A3" s="15" t="s">
        <v>2</v>
      </c>
      <c r="B3" s="16">
        <f>'Data Sheet'!B56</f>
        <v>42460</v>
      </c>
      <c r="C3" s="16">
        <f>'Data Sheet'!C56</f>
        <v>42825</v>
      </c>
      <c r="D3" s="16">
        <f>'Data Sheet'!D56</f>
        <v>43190</v>
      </c>
      <c r="E3" s="16">
        <f>'Data Sheet'!E56</f>
        <v>43555</v>
      </c>
      <c r="F3" s="16">
        <f>'Data Sheet'!F56</f>
        <v>43921</v>
      </c>
      <c r="G3" s="16">
        <f>'Data Sheet'!G56</f>
        <v>44286</v>
      </c>
      <c r="H3" s="16">
        <f>'Data Sheet'!H56</f>
        <v>44651</v>
      </c>
      <c r="I3" s="16">
        <f>'Data Sheet'!I56</f>
        <v>45016</v>
      </c>
      <c r="J3" s="16">
        <f>'Data Sheet'!J56</f>
        <v>45382</v>
      </c>
      <c r="K3" s="16">
        <f>'Data Sheet'!K56</f>
        <v>45747</v>
      </c>
    </row>
    <row r="4" spans="1:11">
      <c r="A4" s="6" t="s">
        <v>24</v>
      </c>
      <c r="B4" s="19">
        <f>'Data Sheet'!B57</f>
        <v>216</v>
      </c>
      <c r="C4" s="19">
        <f>'Data Sheet'!C57</f>
        <v>216</v>
      </c>
      <c r="D4" s="19">
        <f>'Data Sheet'!D57</f>
        <v>216</v>
      </c>
      <c r="E4" s="19">
        <f>'Data Sheet'!E57</f>
        <v>216</v>
      </c>
      <c r="F4" s="19">
        <f>'Data Sheet'!F57</f>
        <v>216</v>
      </c>
      <c r="G4" s="19">
        <f>'Data Sheet'!G57</f>
        <v>235</v>
      </c>
      <c r="H4" s="19">
        <f>'Data Sheet'!H57</f>
        <v>235</v>
      </c>
      <c r="I4" s="19">
        <f>'Data Sheet'!I57</f>
        <v>235</v>
      </c>
      <c r="J4" s="19">
        <f>'Data Sheet'!J57</f>
        <v>235</v>
      </c>
      <c r="K4" s="19">
        <f>'Data Sheet'!K57</f>
        <v>235</v>
      </c>
    </row>
    <row r="5" spans="1:11" s="6" customFormat="1">
      <c r="A5" s="6" t="s">
        <v>25</v>
      </c>
      <c r="B5" s="19">
        <f>'Data Sheet'!B58</f>
        <v>6357</v>
      </c>
      <c r="C5" s="19">
        <f>'Data Sheet'!C58</f>
        <v>6528</v>
      </c>
      <c r="D5" s="19">
        <f>'Data Sheet'!D58</f>
        <v>7065</v>
      </c>
      <c r="E5" s="19">
        <f>'Data Sheet'!E58</f>
        <v>7651</v>
      </c>
      <c r="F5" s="19">
        <f>'Data Sheet'!F58</f>
        <v>8013</v>
      </c>
      <c r="G5" s="19">
        <f>'Data Sheet'!G58</f>
        <v>47439</v>
      </c>
      <c r="H5" s="19">
        <f>'Data Sheet'!H58</f>
        <v>48826</v>
      </c>
      <c r="I5" s="19">
        <f>'Data Sheet'!I58</f>
        <v>50069</v>
      </c>
      <c r="J5" s="19">
        <f>'Data Sheet'!J58</f>
        <v>50983</v>
      </c>
      <c r="K5" s="19">
        <f>'Data Sheet'!K58</f>
        <v>49167</v>
      </c>
    </row>
    <row r="6" spans="1:11">
      <c r="A6" s="11" t="s">
        <v>62</v>
      </c>
      <c r="B6" s="19">
        <f>'Data Sheet'!B59</f>
        <v>177</v>
      </c>
      <c r="C6" s="19">
        <f>'Data Sheet'!C59</f>
        <v>277</v>
      </c>
      <c r="D6" s="19">
        <f>'Data Sheet'!D59</f>
        <v>0</v>
      </c>
      <c r="E6" s="19">
        <f>'Data Sheet'!E59</f>
        <v>99</v>
      </c>
      <c r="F6" s="19">
        <f>'Data Sheet'!F59</f>
        <v>0</v>
      </c>
      <c r="G6" s="19">
        <f>'Data Sheet'!G59</f>
        <v>0</v>
      </c>
      <c r="H6" s="19">
        <f>'Data Sheet'!H59</f>
        <v>1043</v>
      </c>
      <c r="I6" s="19">
        <f>'Data Sheet'!I59</f>
        <v>1219</v>
      </c>
      <c r="J6" s="19">
        <f>'Data Sheet'!J59</f>
        <v>1484</v>
      </c>
      <c r="K6" s="19">
        <f>'Data Sheet'!K59</f>
        <v>1648</v>
      </c>
    </row>
    <row r="7" spans="1:11" s="6" customFormat="1">
      <c r="A7" s="11" t="s">
        <v>63</v>
      </c>
      <c r="B7" s="19">
        <f>'Data Sheet'!B60</f>
        <v>8043</v>
      </c>
      <c r="C7" s="19">
        <f>'Data Sheet'!C60</f>
        <v>8685</v>
      </c>
      <c r="D7" s="19">
        <f>'Data Sheet'!D60</f>
        <v>10581</v>
      </c>
      <c r="E7" s="19">
        <f>'Data Sheet'!E60</f>
        <v>10663</v>
      </c>
      <c r="F7" s="19">
        <f>'Data Sheet'!F60</f>
        <v>11924</v>
      </c>
      <c r="G7" s="19">
        <f>'Data Sheet'!G60</f>
        <v>21066</v>
      </c>
      <c r="H7" s="19">
        <f>'Data Sheet'!H60</f>
        <v>20402</v>
      </c>
      <c r="I7" s="19">
        <f>'Data Sheet'!I60</f>
        <v>21554</v>
      </c>
      <c r="J7" s="19">
        <f>'Data Sheet'!J60</f>
        <v>25787</v>
      </c>
      <c r="K7" s="19">
        <f>'Data Sheet'!K60</f>
        <v>28813</v>
      </c>
    </row>
    <row r="8" spans="1:11" s="8" customFormat="1">
      <c r="A8" s="8" t="s">
        <v>26</v>
      </c>
      <c r="B8" s="20">
        <f>'Data Sheet'!B61</f>
        <v>14793</v>
      </c>
      <c r="C8" s="20">
        <f>'Data Sheet'!C61</f>
        <v>15706</v>
      </c>
      <c r="D8" s="20">
        <f>'Data Sheet'!D61</f>
        <v>17862</v>
      </c>
      <c r="E8" s="20">
        <f>'Data Sheet'!E61</f>
        <v>18629</v>
      </c>
      <c r="F8" s="20">
        <f>'Data Sheet'!F61</f>
        <v>20153</v>
      </c>
      <c r="G8" s="20">
        <f>'Data Sheet'!G61</f>
        <v>68740</v>
      </c>
      <c r="H8" s="20">
        <f>'Data Sheet'!H61</f>
        <v>70506</v>
      </c>
      <c r="I8" s="20">
        <f>'Data Sheet'!I61</f>
        <v>73077</v>
      </c>
      <c r="J8" s="20">
        <f>'Data Sheet'!J61</f>
        <v>78489</v>
      </c>
      <c r="K8" s="20">
        <f>'Data Sheet'!K61</f>
        <v>79863</v>
      </c>
    </row>
    <row r="9" spans="1:11" s="8" customFormat="1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>
      <c r="A10" s="6" t="s">
        <v>27</v>
      </c>
      <c r="B10" s="19">
        <f>'Data Sheet'!B62</f>
        <v>3258</v>
      </c>
      <c r="C10" s="19">
        <f>'Data Sheet'!C62</f>
        <v>4419</v>
      </c>
      <c r="D10" s="19">
        <f>'Data Sheet'!D62</f>
        <v>4528</v>
      </c>
      <c r="E10" s="19">
        <f>'Data Sheet'!E62</f>
        <v>4715</v>
      </c>
      <c r="F10" s="19">
        <f>'Data Sheet'!F62</f>
        <v>5479</v>
      </c>
      <c r="G10" s="19">
        <f>'Data Sheet'!G62</f>
        <v>51443</v>
      </c>
      <c r="H10" s="19">
        <f>'Data Sheet'!H62</f>
        <v>51473</v>
      </c>
      <c r="I10" s="19">
        <f>'Data Sheet'!I62</f>
        <v>52678</v>
      </c>
      <c r="J10" s="19">
        <f>'Data Sheet'!J62</f>
        <v>53744</v>
      </c>
      <c r="K10" s="19">
        <f>'Data Sheet'!K62</f>
        <v>54335</v>
      </c>
    </row>
    <row r="11" spans="1:11">
      <c r="A11" s="6" t="s">
        <v>28</v>
      </c>
      <c r="B11" s="19">
        <f>'Data Sheet'!B63</f>
        <v>408</v>
      </c>
      <c r="C11" s="19">
        <f>'Data Sheet'!C63</f>
        <v>229</v>
      </c>
      <c r="D11" s="19">
        <f>'Data Sheet'!D63</f>
        <v>461</v>
      </c>
      <c r="E11" s="19">
        <f>'Data Sheet'!E63</f>
        <v>406</v>
      </c>
      <c r="F11" s="19">
        <f>'Data Sheet'!F63</f>
        <v>597</v>
      </c>
      <c r="G11" s="19">
        <f>'Data Sheet'!G63</f>
        <v>745</v>
      </c>
      <c r="H11" s="19">
        <f>'Data Sheet'!H63</f>
        <v>1313</v>
      </c>
      <c r="I11" s="19">
        <f>'Data Sheet'!I63</f>
        <v>1132</v>
      </c>
      <c r="J11" s="19">
        <f>'Data Sheet'!J63</f>
        <v>1025</v>
      </c>
      <c r="K11" s="19">
        <f>'Data Sheet'!K63</f>
        <v>1009</v>
      </c>
    </row>
    <row r="12" spans="1:11">
      <c r="A12" s="6" t="s">
        <v>29</v>
      </c>
      <c r="B12" s="19">
        <f>'Data Sheet'!B64</f>
        <v>2592</v>
      </c>
      <c r="C12" s="19">
        <f>'Data Sheet'!C64</f>
        <v>3794</v>
      </c>
      <c r="D12" s="19">
        <f>'Data Sheet'!D64</f>
        <v>2873</v>
      </c>
      <c r="E12" s="19">
        <f>'Data Sheet'!E64</f>
        <v>2716</v>
      </c>
      <c r="F12" s="19">
        <f>'Data Sheet'!F64</f>
        <v>1255</v>
      </c>
      <c r="G12" s="19">
        <f>'Data Sheet'!G64</f>
        <v>2709</v>
      </c>
      <c r="H12" s="19">
        <f>'Data Sheet'!H64</f>
        <v>3521</v>
      </c>
      <c r="I12" s="19">
        <f>'Data Sheet'!I64</f>
        <v>2882</v>
      </c>
      <c r="J12" s="19">
        <f>'Data Sheet'!J64</f>
        <v>4625</v>
      </c>
      <c r="K12" s="19">
        <f>'Data Sheet'!K64</f>
        <v>3810</v>
      </c>
    </row>
    <row r="13" spans="1:11">
      <c r="A13" s="11" t="s">
        <v>64</v>
      </c>
      <c r="B13" s="19">
        <f>'Data Sheet'!B65</f>
        <v>8535</v>
      </c>
      <c r="C13" s="19">
        <f>'Data Sheet'!C65</f>
        <v>7264</v>
      </c>
      <c r="D13" s="19">
        <f>'Data Sheet'!D65</f>
        <v>10000</v>
      </c>
      <c r="E13" s="19">
        <f>'Data Sheet'!E65</f>
        <v>10792</v>
      </c>
      <c r="F13" s="19">
        <f>'Data Sheet'!F65</f>
        <v>12822</v>
      </c>
      <c r="G13" s="19">
        <f>'Data Sheet'!G65</f>
        <v>13843</v>
      </c>
      <c r="H13" s="19">
        <f>'Data Sheet'!H65</f>
        <v>14199</v>
      </c>
      <c r="I13" s="19">
        <f>'Data Sheet'!I65</f>
        <v>16385</v>
      </c>
      <c r="J13" s="19">
        <f>'Data Sheet'!J65</f>
        <v>19095</v>
      </c>
      <c r="K13" s="19">
        <f>'Data Sheet'!K65</f>
        <v>20709</v>
      </c>
    </row>
    <row r="14" spans="1:11" s="8" customFormat="1">
      <c r="A14" s="8" t="s">
        <v>26</v>
      </c>
      <c r="B14" s="19">
        <f>'Data Sheet'!B66</f>
        <v>14793</v>
      </c>
      <c r="C14" s="19">
        <f>'Data Sheet'!C66</f>
        <v>15706</v>
      </c>
      <c r="D14" s="19">
        <f>'Data Sheet'!D66</f>
        <v>17862</v>
      </c>
      <c r="E14" s="19">
        <f>'Data Sheet'!E66</f>
        <v>18629</v>
      </c>
      <c r="F14" s="19">
        <f>'Data Sheet'!F66</f>
        <v>20153</v>
      </c>
      <c r="G14" s="19">
        <f>'Data Sheet'!G66</f>
        <v>68740</v>
      </c>
      <c r="H14" s="19">
        <f>'Data Sheet'!H66</f>
        <v>70506</v>
      </c>
      <c r="I14" s="19">
        <f>'Data Sheet'!I66</f>
        <v>73077</v>
      </c>
      <c r="J14" s="19">
        <f>'Data Sheet'!J66</f>
        <v>78489</v>
      </c>
      <c r="K14" s="19">
        <f>'Data Sheet'!K66</f>
        <v>79863</v>
      </c>
    </row>
    <row r="15" spans="1:11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>
      <c r="A16" s="25" t="s">
        <v>30</v>
      </c>
      <c r="B16" s="21">
        <f>B13-B7</f>
        <v>492</v>
      </c>
      <c r="C16" s="21">
        <f t="shared" ref="C16:K16" si="0">C13-C7</f>
        <v>-1421</v>
      </c>
      <c r="D16" s="21">
        <f t="shared" si="0"/>
        <v>-581</v>
      </c>
      <c r="E16" s="21">
        <f t="shared" si="0"/>
        <v>129</v>
      </c>
      <c r="F16" s="21">
        <f t="shared" si="0"/>
        <v>898</v>
      </c>
      <c r="G16" s="21">
        <f t="shared" si="0"/>
        <v>-7223</v>
      </c>
      <c r="H16" s="21">
        <f t="shared" si="0"/>
        <v>-6203</v>
      </c>
      <c r="I16" s="21">
        <f t="shared" si="0"/>
        <v>-5169</v>
      </c>
      <c r="J16" s="21">
        <f t="shared" si="0"/>
        <v>-6692</v>
      </c>
      <c r="K16" s="21">
        <f t="shared" si="0"/>
        <v>-8104</v>
      </c>
    </row>
    <row r="17" spans="1:11">
      <c r="A17" s="11" t="s">
        <v>44</v>
      </c>
      <c r="B17" s="21">
        <f>'Data Sheet'!B67</f>
        <v>1264</v>
      </c>
      <c r="C17" s="21">
        <f>'Data Sheet'!C67</f>
        <v>1085</v>
      </c>
      <c r="D17" s="21">
        <f>'Data Sheet'!D67</f>
        <v>1310</v>
      </c>
      <c r="E17" s="21">
        <f>'Data Sheet'!E67</f>
        <v>1816</v>
      </c>
      <c r="F17" s="21">
        <f>'Data Sheet'!F67</f>
        <v>1149</v>
      </c>
      <c r="G17" s="21">
        <f>'Data Sheet'!G67</f>
        <v>1758</v>
      </c>
      <c r="H17" s="21">
        <f>'Data Sheet'!H67</f>
        <v>2236</v>
      </c>
      <c r="I17" s="21">
        <f>'Data Sheet'!I67</f>
        <v>3079</v>
      </c>
      <c r="J17" s="21">
        <f>'Data Sheet'!J67</f>
        <v>2997</v>
      </c>
      <c r="K17" s="21">
        <f>'Data Sheet'!K67</f>
        <v>3819</v>
      </c>
    </row>
    <row r="18" spans="1:11">
      <c r="A18" s="11" t="s">
        <v>45</v>
      </c>
      <c r="B18" s="21">
        <f>'Data Sheet'!B68</f>
        <v>2726</v>
      </c>
      <c r="C18" s="21">
        <f>'Data Sheet'!C68</f>
        <v>2541</v>
      </c>
      <c r="D18" s="21">
        <f>'Data Sheet'!D68</f>
        <v>2513</v>
      </c>
      <c r="E18" s="21">
        <f>'Data Sheet'!E68</f>
        <v>2574</v>
      </c>
      <c r="F18" s="21">
        <f>'Data Sheet'!F68</f>
        <v>2767</v>
      </c>
      <c r="G18" s="21">
        <f>'Data Sheet'!G68</f>
        <v>3579</v>
      </c>
      <c r="H18" s="21">
        <f>'Data Sheet'!H68</f>
        <v>4096</v>
      </c>
      <c r="I18" s="21">
        <f>'Data Sheet'!I68</f>
        <v>4251</v>
      </c>
      <c r="J18" s="21">
        <f>'Data Sheet'!J68</f>
        <v>4022</v>
      </c>
      <c r="K18" s="21">
        <f>'Data Sheet'!K68</f>
        <v>4415</v>
      </c>
    </row>
    <row r="20" spans="1:11">
      <c r="A20" s="11" t="s">
        <v>46</v>
      </c>
      <c r="B20" s="5">
        <f>IF('Profit &amp; Loss'!B4&gt;0,'Balance Sheet'!B17/('Profit &amp; Loss'!B4/365),0)</f>
        <v>14.334182563847635</v>
      </c>
      <c r="C20" s="5">
        <f>IF('Profit &amp; Loss'!C4&gt;0,'Balance Sheet'!C17/('Profit &amp; Loss'!C4/365),0)</f>
        <v>11.942132561365419</v>
      </c>
      <c r="D20" s="5">
        <f>IF('Profit &amp; Loss'!D4&gt;0,'Balance Sheet'!D17/('Profit &amp; Loss'!D4/365),0)</f>
        <v>13.4519623013082</v>
      </c>
      <c r="E20" s="5">
        <f>IF('Profit &amp; Loss'!E4&gt;0,'Balance Sheet'!E17/('Profit &amp; Loss'!E4/365),0)</f>
        <v>16.861867209361485</v>
      </c>
      <c r="F20" s="5">
        <f>IF('Profit &amp; Loss'!F4&gt;0,'Balance Sheet'!F17/('Profit &amp; Loss'!F4/365),0)</f>
        <v>10.541814342809744</v>
      </c>
      <c r="G20" s="5">
        <f>IF('Profit &amp; Loss'!G4&gt;0,'Balance Sheet'!G17/('Profit &amp; Loss'!G4/365),0)</f>
        <v>13.644424598111764</v>
      </c>
      <c r="H20" s="5">
        <f>IF('Profit &amp; Loss'!H4&gt;0,'Balance Sheet'!H17/('Profit &amp; Loss'!H4/365),0)</f>
        <v>15.56152995461999</v>
      </c>
      <c r="I20" s="5">
        <f>IF('Profit &amp; Loss'!I4&gt;0,'Balance Sheet'!I17/('Profit &amp; Loss'!I4/365),0)</f>
        <v>18.551254539451964</v>
      </c>
      <c r="J20" s="5">
        <f>IF('Profit &amp; Loss'!J4&gt;0,'Balance Sheet'!J17/('Profit &amp; Loss'!J4/365),0)</f>
        <v>17.673274525009692</v>
      </c>
      <c r="K20" s="5">
        <f>IF('Profit &amp; Loss'!K4&gt;0,'Balance Sheet'!K17/('Profit &amp; Loss'!K4/365),0)</f>
        <v>22.08353796676225</v>
      </c>
    </row>
    <row r="21" spans="1:11">
      <c r="A21" s="11" t="s">
        <v>47</v>
      </c>
      <c r="B21" s="5">
        <f>IF('Balance Sheet'!B18&gt;0,'Profit &amp; Loss'!B4/'Balance Sheet'!B18,0)</f>
        <v>11.807043286867204</v>
      </c>
      <c r="C21" s="5">
        <f>IF('Balance Sheet'!C18&gt;0,'Profit &amp; Loss'!C4/'Balance Sheet'!C18,0)</f>
        <v>13.050767414403778</v>
      </c>
      <c r="D21" s="5">
        <f>IF('Balance Sheet'!D18&gt;0,'Profit &amp; Loss'!D4/'Balance Sheet'!D18,0)</f>
        <v>14.144448865897333</v>
      </c>
      <c r="E21" s="5">
        <f>IF('Balance Sheet'!E18&gt;0,'Profit &amp; Loss'!E4/'Balance Sheet'!E18,0)</f>
        <v>15.271950271950272</v>
      </c>
      <c r="F21" s="5">
        <f>IF('Balance Sheet'!F18&gt;0,'Profit &amp; Loss'!F4/'Balance Sheet'!F18,0)</f>
        <v>14.377665341525118</v>
      </c>
      <c r="G21" s="5">
        <f>IF('Balance Sheet'!G18&gt;0,'Profit &amp; Loss'!G4/'Balance Sheet'!G18,0)</f>
        <v>13.139983235540655</v>
      </c>
      <c r="H21" s="5">
        <f>IF('Balance Sheet'!H18&gt;0,'Profit &amp; Loss'!H4/'Balance Sheet'!H18,0)</f>
        <v>12.80419921875</v>
      </c>
      <c r="I21" s="5">
        <f>IF('Balance Sheet'!I18&gt;0,'Profit &amp; Loss'!I4/'Balance Sheet'!I18,0)</f>
        <v>14.250764525993883</v>
      </c>
      <c r="J21" s="5">
        <f>IF('Balance Sheet'!J18&gt;0,'Profit &amp; Loss'!J4/'Balance Sheet'!J18,0)</f>
        <v>15.389358528095475</v>
      </c>
      <c r="K21" s="5">
        <f>IF('Balance Sheet'!K18&gt;0,'Profit &amp; Loss'!K4/'Balance Sheet'!K18,0)</f>
        <v>14.296942242355605</v>
      </c>
    </row>
    <row r="23" spans="1:11" s="8" customFormat="1">
      <c r="A23" s="8" t="s">
        <v>50</v>
      </c>
      <c r="B23" s="14">
        <f>IF(SUM('Balance Sheet'!B4:B5)&gt;0,'Profit &amp; Loss'!B12/SUM('Balance Sheet'!B4:B5),"")</f>
        <v>0.6315228966986155</v>
      </c>
      <c r="C23" s="14">
        <f>IF(SUM('Balance Sheet'!C4:C5)&gt;0,'Profit &amp; Loss'!C12/SUM('Balance Sheet'!C4:C5),"")</f>
        <v>0.66370106761565839</v>
      </c>
      <c r="D23" s="14">
        <f>IF(SUM('Balance Sheet'!D4:D5)&gt;0,'Profit &amp; Loss'!D12/SUM('Balance Sheet'!D4:D5),"")</f>
        <v>0.71611042439225381</v>
      </c>
      <c r="E23" s="14">
        <f>IF(SUM('Balance Sheet'!E4:E5)&gt;0,'Profit &amp; Loss'!E12/SUM('Balance Sheet'!E4:E5),"")</f>
        <v>0.76954366340409308</v>
      </c>
      <c r="F23" s="14">
        <f>IF(SUM('Balance Sheet'!F4:F5)&gt;0,'Profit &amp; Loss'!F12/SUM('Balance Sheet'!F4:F5),"")</f>
        <v>0.82002673471867782</v>
      </c>
      <c r="G23" s="14">
        <f>IF(SUM('Balance Sheet'!G4:G5)&gt;0,'Profit &amp; Loss'!G12/SUM('Balance Sheet'!G4:G5),"")</f>
        <v>0.16770147250073414</v>
      </c>
      <c r="H23" s="14">
        <f>IF(SUM('Balance Sheet'!H4:H5)&gt;0,'Profit &amp; Loss'!H12/SUM('Balance Sheet'!H4:H5),"")</f>
        <v>0.18097878151688715</v>
      </c>
      <c r="I23" s="14">
        <f>IF(SUM('Balance Sheet'!I4:I5)&gt;0,'Profit &amp; Loss'!I12/SUM('Balance Sheet'!I4:I5),"")</f>
        <v>0.201176844783715</v>
      </c>
      <c r="J23" s="14">
        <f>IF(SUM('Balance Sheet'!J4:J5)&gt;0,'Profit &amp; Loss'!J12/SUM('Balance Sheet'!J4:J5),"")</f>
        <v>0.20065211449099926</v>
      </c>
      <c r="K23" s="14">
        <f>IF(SUM('Balance Sheet'!K4:K5)&gt;0,'Profit &amp; Loss'!K12/SUM('Balance Sheet'!K4:K5),"")</f>
        <v>0.21555807457187967</v>
      </c>
    </row>
    <row r="24" spans="1:11" s="8" customFormat="1">
      <c r="A24" s="8" t="s">
        <v>51</v>
      </c>
      <c r="B24" s="14"/>
      <c r="C24" s="14">
        <f>IF((B4+B5+B6+C4+C5+C6)&gt;0,('Profit &amp; Loss'!C10+'Profit &amp; Loss'!C9)*2/(B4+B5+B6+C4+C5+C6),"")</f>
        <v>0.9443032459516375</v>
      </c>
      <c r="D24" s="14">
        <f>IF((C4+C5+C6+D4+D5+D6)&gt;0,('Profit &amp; Loss'!D10+'Profit &amp; Loss'!D9)*2/(C4+C5+C6+D4+D5+D6),"")</f>
        <v>1.0253111452943644</v>
      </c>
      <c r="E24" s="14">
        <f>IF((D4+D5+D6+E4+E5+E6)&gt;0,('Profit &amp; Loss'!E10+'Profit &amp; Loss'!E9)*2/(D4+D5+D6+E4+E5+E6),"")</f>
        <v>1.1329441857414573</v>
      </c>
      <c r="F24" s="14">
        <f>IF((E4+E5+E6+F4+F5+F6)&gt;0,('Profit &amp; Loss'!F10+'Profit &amp; Loss'!F9)*2/(E4+E5+E6+F4+F5+F6),"")</f>
        <v>1.1464032108675517</v>
      </c>
      <c r="G24" s="14">
        <f>IF((F4+F5+F6+G4+G5+G6)&gt;0,('Profit &amp; Loss'!G10+'Profit &amp; Loss'!G9)*2/(F4+F5+F6+G4+G5+G6),"")</f>
        <v>0.38359300931971452</v>
      </c>
      <c r="H24" s="14">
        <f>IF((G4+G5+G6+H4+H5+H6)&gt;0,('Profit &amp; Loss'!H10+'Profit &amp; Loss'!H9)*2/(G4+G5+G6+H4+H5+H6),"")</f>
        <v>0.2451471701200679</v>
      </c>
      <c r="I24" s="14">
        <f>IF((H4+H5+H6+I4+I5+I6)&gt;0,('Profit &amp; Loss'!I10+'Profit &amp; Loss'!I9)*2/(H4+H5+H6+I4+I5+I6),"")</f>
        <v>0.26485087624351794</v>
      </c>
      <c r="J24" s="14">
        <f>IF((I4+I5+I6+J4+J5+J6)&gt;0,('Profit &amp; Loss'!J10+'Profit &amp; Loss'!J9)*2/(I4+I5+I6+J4+J5+J6),"")</f>
        <v>0.27363876229311584</v>
      </c>
      <c r="K24" s="14">
        <f>IF((J4+J5+J6+K4+K5+K6)&gt;0,('Profit &amp; Loss'!K10+'Profit &amp; Loss'!K9)*2/(J4+J5+J6+K4+K5+K6),"")</f>
        <v>0.28548847251137327</v>
      </c>
    </row>
    <row r="25" spans="1:11" s="18" customFormat="1"/>
    <row r="26" spans="1:11">
      <c r="A26" s="18" t="s">
        <v>112</v>
      </c>
      <c r="B26" s="45">
        <f>SUM(B4:B5)</f>
        <v>6573</v>
      </c>
      <c r="C26" s="45">
        <f t="shared" ref="C26:K26" si="1">SUM(C4:C5)</f>
        <v>6744</v>
      </c>
      <c r="D26" s="45">
        <f t="shared" si="1"/>
        <v>7281</v>
      </c>
      <c r="E26" s="45">
        <f t="shared" si="1"/>
        <v>7867</v>
      </c>
      <c r="F26" s="45">
        <f t="shared" si="1"/>
        <v>8229</v>
      </c>
      <c r="G26" s="45">
        <f t="shared" si="1"/>
        <v>47674</v>
      </c>
      <c r="H26" s="45">
        <f t="shared" si="1"/>
        <v>49061</v>
      </c>
      <c r="I26" s="45">
        <f t="shared" si="1"/>
        <v>50304</v>
      </c>
      <c r="J26" s="45">
        <f t="shared" si="1"/>
        <v>51218</v>
      </c>
      <c r="K26" s="45">
        <f t="shared" si="1"/>
        <v>49402</v>
      </c>
    </row>
  </sheetData>
  <hyperlinks>
    <hyperlink ref="J1" r:id="rId1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B1:C20"/>
  <sheetViews>
    <sheetView workbookViewId="0">
      <selection activeCell="C4" sqref="C4"/>
    </sheetView>
  </sheetViews>
  <sheetFormatPr defaultRowHeight="14.5"/>
  <cols>
    <col min="2" max="2" width="18.81640625" bestFit="1" customWidth="1"/>
    <col min="3" max="3" width="68.6328125" bestFit="1" customWidth="1"/>
  </cols>
  <sheetData>
    <row r="1" spans="2:3">
      <c r="C1" s="31"/>
    </row>
    <row r="2" spans="2:3">
      <c r="C2" s="31"/>
    </row>
    <row r="3" spans="2:3">
      <c r="C3" s="31"/>
    </row>
    <row r="4" spans="2:3" ht="83.5" customHeight="1">
      <c r="B4" s="31" t="s">
        <v>81</v>
      </c>
      <c r="C4" s="32" t="s">
        <v>82</v>
      </c>
    </row>
    <row r="5" spans="2:3">
      <c r="C5" s="29"/>
    </row>
    <row r="6" spans="2:3">
      <c r="C6" s="30"/>
    </row>
    <row r="7" spans="2:3">
      <c r="C7" s="29"/>
    </row>
    <row r="8" spans="2:3">
      <c r="C8" s="29"/>
    </row>
    <row r="9" spans="2:3">
      <c r="C9" s="29"/>
    </row>
    <row r="10" spans="2:3">
      <c r="C10" s="29"/>
    </row>
    <row r="11" spans="2:3">
      <c r="C11" s="29"/>
    </row>
    <row r="12" spans="2:3">
      <c r="C12" s="29"/>
    </row>
    <row r="13" spans="2:3">
      <c r="C13" s="29"/>
    </row>
    <row r="14" spans="2:3">
      <c r="C14" s="29"/>
    </row>
    <row r="15" spans="2:3">
      <c r="C15" s="29"/>
    </row>
    <row r="16" spans="2:3">
      <c r="C16" s="29"/>
    </row>
    <row r="17" spans="3:3">
      <c r="C17" s="29"/>
    </row>
    <row r="18" spans="3:3">
      <c r="C18" s="29"/>
    </row>
    <row r="19" spans="3:3">
      <c r="C19" s="29"/>
    </row>
    <row r="20" spans="3:3">
      <c r="C20" s="29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B2:O1242"/>
  <sheetViews>
    <sheetView zoomScale="115" zoomScaleNormal="115" workbookViewId="0">
      <selection activeCell="G14" sqref="G14"/>
    </sheetView>
  </sheetViews>
  <sheetFormatPr defaultRowHeight="14.5"/>
  <cols>
    <col min="2" max="2" width="10.36328125" bestFit="1" customWidth="1"/>
    <col min="5" max="5" width="9.08984375" bestFit="1" customWidth="1"/>
    <col min="7" max="7" width="35.81640625" bestFit="1" customWidth="1"/>
    <col min="8" max="8" width="9.08984375" bestFit="1" customWidth="1"/>
    <col min="9" max="9" width="14.453125" bestFit="1" customWidth="1"/>
    <col min="10" max="10" width="9.54296875" bestFit="1" customWidth="1"/>
    <col min="11" max="11" width="16.26953125" bestFit="1" customWidth="1"/>
  </cols>
  <sheetData>
    <row r="2" spans="2:15">
      <c r="B2" t="s">
        <v>104</v>
      </c>
      <c r="C2" t="s">
        <v>121</v>
      </c>
      <c r="O2" t="s">
        <v>49</v>
      </c>
    </row>
    <row r="3" spans="2:15">
      <c r="B3" s="42">
        <v>44259</v>
      </c>
      <c r="C3">
        <v>2.29</v>
      </c>
      <c r="D3">
        <v>1000000</v>
      </c>
      <c r="O3" s="43">
        <v>2196.9</v>
      </c>
    </row>
    <row r="4" spans="2:15">
      <c r="B4" s="42">
        <v>44260</v>
      </c>
      <c r="C4">
        <v>2.13</v>
      </c>
      <c r="O4" s="43">
        <v>2201.1</v>
      </c>
    </row>
    <row r="5" spans="2:15">
      <c r="B5" s="42">
        <v>44263</v>
      </c>
      <c r="C5">
        <v>1.44</v>
      </c>
      <c r="O5" s="43">
        <v>2174.5500000000002</v>
      </c>
    </row>
    <row r="6" spans="2:15">
      <c r="B6" s="42">
        <v>44264</v>
      </c>
      <c r="C6">
        <v>1.71</v>
      </c>
      <c r="O6" s="43">
        <v>2198.5</v>
      </c>
    </row>
    <row r="7" spans="2:15">
      <c r="B7" s="42">
        <v>44265</v>
      </c>
      <c r="C7">
        <v>2.7</v>
      </c>
      <c r="O7" s="43">
        <v>2227.85</v>
      </c>
    </row>
    <row r="8" spans="2:15">
      <c r="B8" s="42">
        <v>44267</v>
      </c>
      <c r="C8">
        <v>2.04</v>
      </c>
      <c r="O8" s="43">
        <v>2204.75</v>
      </c>
    </row>
    <row r="9" spans="2:15">
      <c r="B9" s="42">
        <v>44270</v>
      </c>
      <c r="C9">
        <v>1.63</v>
      </c>
      <c r="O9" s="43">
        <v>2210.85</v>
      </c>
    </row>
    <row r="10" spans="2:15">
      <c r="B10" s="42">
        <v>44271</v>
      </c>
      <c r="C10">
        <v>2.63</v>
      </c>
      <c r="O10" s="43">
        <v>2244.0500000000002</v>
      </c>
    </row>
    <row r="11" spans="2:15">
      <c r="B11" s="42">
        <v>44272</v>
      </c>
      <c r="C11">
        <v>3.7</v>
      </c>
      <c r="O11" s="43">
        <v>2226.3000000000002</v>
      </c>
    </row>
    <row r="12" spans="2:15">
      <c r="B12" s="42">
        <v>44273</v>
      </c>
      <c r="C12">
        <v>2.6</v>
      </c>
      <c r="O12" s="43">
        <v>2215.1999999999998</v>
      </c>
    </row>
    <row r="13" spans="2:15">
      <c r="B13" s="42">
        <v>44274</v>
      </c>
      <c r="C13">
        <v>5.38</v>
      </c>
      <c r="I13" t="s">
        <v>189</v>
      </c>
      <c r="O13" s="43">
        <v>2312.0500000000002</v>
      </c>
    </row>
    <row r="14" spans="2:15">
      <c r="B14" s="42">
        <v>44277</v>
      </c>
      <c r="C14">
        <v>2.4700000000000002</v>
      </c>
      <c r="H14">
        <v>1</v>
      </c>
      <c r="I14" t="s">
        <v>152</v>
      </c>
      <c r="O14" s="43">
        <v>2353.1999999999998</v>
      </c>
    </row>
    <row r="15" spans="2:15">
      <c r="B15" s="42">
        <v>44278</v>
      </c>
      <c r="C15">
        <v>1.97</v>
      </c>
      <c r="H15">
        <v>2</v>
      </c>
      <c r="I15" t="s">
        <v>153</v>
      </c>
      <c r="J15">
        <v>146.47</v>
      </c>
      <c r="K15">
        <v>3.75</v>
      </c>
      <c r="O15" s="43">
        <v>2337.3000000000002</v>
      </c>
    </row>
    <row r="16" spans="2:15">
      <c r="B16" s="42">
        <v>44279</v>
      </c>
      <c r="C16">
        <v>1.76</v>
      </c>
      <c r="H16">
        <v>3</v>
      </c>
      <c r="I16" t="s">
        <v>154</v>
      </c>
      <c r="J16">
        <v>59.18</v>
      </c>
      <c r="K16">
        <v>9.6999999999999993</v>
      </c>
      <c r="O16" s="43">
        <v>2318.6</v>
      </c>
    </row>
    <row r="17" spans="2:15">
      <c r="B17" s="42">
        <v>44280</v>
      </c>
      <c r="C17">
        <v>2.5</v>
      </c>
      <c r="H17">
        <v>4</v>
      </c>
      <c r="I17" t="s">
        <v>155</v>
      </c>
      <c r="J17">
        <v>66.319999999999993</v>
      </c>
      <c r="K17" t="s">
        <v>182</v>
      </c>
      <c r="O17" s="43">
        <v>2237.0500000000002</v>
      </c>
    </row>
    <row r="18" spans="2:15">
      <c r="B18" s="42">
        <v>44281</v>
      </c>
      <c r="C18">
        <v>1.93</v>
      </c>
      <c r="H18">
        <v>5</v>
      </c>
      <c r="I18" t="s">
        <v>156</v>
      </c>
      <c r="J18">
        <v>83.65</v>
      </c>
      <c r="K18" t="s">
        <v>182</v>
      </c>
      <c r="O18" s="43">
        <v>2317.9</v>
      </c>
    </row>
    <row r="19" spans="2:15">
      <c r="B19" s="42">
        <v>44285</v>
      </c>
      <c r="C19">
        <v>3.33</v>
      </c>
      <c r="O19" s="43">
        <v>2398.75</v>
      </c>
    </row>
    <row r="20" spans="2:15">
      <c r="B20" s="42">
        <v>44286</v>
      </c>
      <c r="C20">
        <v>2.71</v>
      </c>
      <c r="O20" s="43">
        <v>2431.5</v>
      </c>
    </row>
    <row r="21" spans="2:15">
      <c r="B21" s="42">
        <v>44287</v>
      </c>
      <c r="C21">
        <v>1.53</v>
      </c>
      <c r="O21" s="43">
        <v>2399.1</v>
      </c>
    </row>
    <row r="22" spans="2:15">
      <c r="B22" s="42">
        <v>44291</v>
      </c>
      <c r="C22">
        <v>2.5499999999999998</v>
      </c>
      <c r="O22" s="43">
        <v>2373.1999999999998</v>
      </c>
    </row>
    <row r="23" spans="2:15">
      <c r="B23" s="42">
        <v>44292</v>
      </c>
      <c r="C23">
        <v>3.68</v>
      </c>
      <c r="O23" s="43">
        <v>2408.3000000000002</v>
      </c>
    </row>
    <row r="24" spans="2:15">
      <c r="B24" s="42">
        <v>44293</v>
      </c>
      <c r="C24">
        <v>1.71</v>
      </c>
      <c r="O24" s="43">
        <v>2405.25</v>
      </c>
    </row>
    <row r="25" spans="2:15">
      <c r="B25" s="42">
        <v>44294</v>
      </c>
      <c r="C25">
        <v>1.81</v>
      </c>
      <c r="O25" s="43">
        <v>2409.9</v>
      </c>
    </row>
    <row r="26" spans="2:15">
      <c r="B26" s="42">
        <v>44295</v>
      </c>
      <c r="C26">
        <v>2.6</v>
      </c>
      <c r="O26" s="43">
        <v>2476</v>
      </c>
    </row>
    <row r="27" spans="2:15">
      <c r="B27" s="42">
        <v>44298</v>
      </c>
      <c r="C27">
        <v>2.2599999999999998</v>
      </c>
      <c r="G27" t="s">
        <v>150</v>
      </c>
      <c r="O27" s="43">
        <v>2462</v>
      </c>
    </row>
    <row r="28" spans="2:15">
      <c r="B28" s="42">
        <v>44299</v>
      </c>
      <c r="C28">
        <v>1.81</v>
      </c>
      <c r="G28" t="s">
        <v>151</v>
      </c>
      <c r="O28" s="43">
        <v>2454.4</v>
      </c>
    </row>
    <row r="29" spans="2:15">
      <c r="B29" s="42">
        <v>44301</v>
      </c>
      <c r="C29">
        <v>3.35</v>
      </c>
      <c r="G29" t="s">
        <v>152</v>
      </c>
      <c r="O29" s="43">
        <v>2460.65</v>
      </c>
    </row>
    <row r="30" spans="2:15">
      <c r="B30" s="42">
        <v>44302</v>
      </c>
      <c r="C30">
        <v>1.23</v>
      </c>
      <c r="G30" t="s">
        <v>153</v>
      </c>
      <c r="O30" s="43">
        <v>2458.9</v>
      </c>
    </row>
    <row r="31" spans="2:15">
      <c r="B31" s="42">
        <v>44305</v>
      </c>
      <c r="C31">
        <v>1.75</v>
      </c>
      <c r="G31" t="s">
        <v>154</v>
      </c>
      <c r="O31" s="43">
        <v>2436.65</v>
      </c>
    </row>
    <row r="32" spans="2:15">
      <c r="B32" s="42">
        <v>44306</v>
      </c>
      <c r="C32">
        <v>1.59</v>
      </c>
      <c r="G32" t="s">
        <v>155</v>
      </c>
      <c r="O32" s="43">
        <v>2397.4499999999998</v>
      </c>
    </row>
    <row r="33" spans="2:15">
      <c r="B33" s="42">
        <v>44308</v>
      </c>
      <c r="C33">
        <v>1.72</v>
      </c>
      <c r="G33" t="s">
        <v>156</v>
      </c>
      <c r="O33" s="43">
        <v>2349.4</v>
      </c>
    </row>
    <row r="34" spans="2:15">
      <c r="B34" s="42">
        <v>44309</v>
      </c>
      <c r="C34">
        <v>1.95</v>
      </c>
      <c r="G34" t="s">
        <v>157</v>
      </c>
      <c r="O34" s="43">
        <v>2307.75</v>
      </c>
    </row>
    <row r="35" spans="2:15">
      <c r="B35" s="42">
        <v>44312</v>
      </c>
      <c r="C35">
        <v>1.95</v>
      </c>
      <c r="G35" t="s">
        <v>158</v>
      </c>
      <c r="O35" s="43">
        <v>2360.65</v>
      </c>
    </row>
    <row r="36" spans="2:15">
      <c r="B36" s="42">
        <v>44313</v>
      </c>
      <c r="C36">
        <v>1.67</v>
      </c>
      <c r="G36" t="s">
        <v>159</v>
      </c>
      <c r="O36" s="43">
        <v>2379.85</v>
      </c>
    </row>
    <row r="37" spans="2:15">
      <c r="B37" s="42">
        <v>44314</v>
      </c>
      <c r="C37">
        <v>1.95</v>
      </c>
      <c r="G37" t="s">
        <v>160</v>
      </c>
      <c r="O37" s="43">
        <v>2406.5500000000002</v>
      </c>
    </row>
    <row r="38" spans="2:15">
      <c r="B38" s="42">
        <v>44315</v>
      </c>
      <c r="C38">
        <v>3.15</v>
      </c>
      <c r="G38" t="s">
        <v>161</v>
      </c>
      <c r="O38" s="43">
        <v>2407.6</v>
      </c>
    </row>
    <row r="39" spans="2:15">
      <c r="B39" s="42">
        <v>44316</v>
      </c>
      <c r="C39">
        <v>4.01</v>
      </c>
      <c r="G39" t="s">
        <v>162</v>
      </c>
      <c r="O39" s="43">
        <v>2353.75</v>
      </c>
    </row>
    <row r="40" spans="2:15">
      <c r="B40" s="42">
        <v>44319</v>
      </c>
      <c r="C40">
        <v>1.69</v>
      </c>
      <c r="G40" t="s">
        <v>163</v>
      </c>
      <c r="O40" s="43">
        <v>2408</v>
      </c>
    </row>
    <row r="41" spans="2:15">
      <c r="B41" s="42">
        <v>44320</v>
      </c>
      <c r="C41">
        <v>1.45</v>
      </c>
      <c r="G41" t="s">
        <v>164</v>
      </c>
      <c r="O41" s="43">
        <v>2407.65</v>
      </c>
    </row>
    <row r="42" spans="2:15">
      <c r="B42" s="42">
        <v>44321</v>
      </c>
      <c r="C42">
        <v>1.26</v>
      </c>
      <c r="G42" t="s">
        <v>165</v>
      </c>
      <c r="O42" s="43">
        <v>2394.65</v>
      </c>
    </row>
    <row r="43" spans="2:15">
      <c r="B43" s="42">
        <v>44322</v>
      </c>
      <c r="C43">
        <v>1.38</v>
      </c>
      <c r="G43" t="s">
        <v>166</v>
      </c>
      <c r="O43" s="43">
        <v>2390</v>
      </c>
    </row>
    <row r="44" spans="2:15">
      <c r="B44" s="42">
        <v>44323</v>
      </c>
      <c r="C44">
        <v>1.17</v>
      </c>
      <c r="G44" t="s">
        <v>167</v>
      </c>
      <c r="O44" s="43">
        <v>2411.1999999999998</v>
      </c>
    </row>
    <row r="45" spans="2:15">
      <c r="B45" s="42">
        <v>44326</v>
      </c>
      <c r="C45">
        <v>0.98850000000000005</v>
      </c>
      <c r="G45" t="s">
        <v>168</v>
      </c>
      <c r="O45" s="43">
        <v>2432.9</v>
      </c>
    </row>
    <row r="46" spans="2:15">
      <c r="B46" s="42">
        <v>44327</v>
      </c>
      <c r="C46">
        <v>1.02</v>
      </c>
      <c r="G46" t="s">
        <v>169</v>
      </c>
      <c r="O46" s="43">
        <v>2402.1</v>
      </c>
    </row>
    <row r="47" spans="2:15">
      <c r="B47" s="42">
        <v>44328</v>
      </c>
      <c r="C47">
        <v>2.0499999999999998</v>
      </c>
      <c r="G47" t="s">
        <v>170</v>
      </c>
      <c r="O47" s="43">
        <v>2328.9499999999998</v>
      </c>
    </row>
    <row r="48" spans="2:15">
      <c r="B48" s="42">
        <v>44330</v>
      </c>
      <c r="C48">
        <v>1.39</v>
      </c>
      <c r="G48" t="s">
        <v>171</v>
      </c>
      <c r="O48" s="43">
        <v>2376.85</v>
      </c>
    </row>
    <row r="49" spans="2:15">
      <c r="B49" s="42">
        <v>44333</v>
      </c>
      <c r="C49">
        <v>0.81123999999999996</v>
      </c>
      <c r="G49" t="s">
        <v>172</v>
      </c>
      <c r="O49" s="43">
        <v>2376.25</v>
      </c>
    </row>
    <row r="50" spans="2:15">
      <c r="B50" s="42">
        <v>44334</v>
      </c>
      <c r="C50">
        <v>1.1499999999999999</v>
      </c>
      <c r="G50" t="s">
        <v>172</v>
      </c>
      <c r="O50" s="43">
        <v>2374.25</v>
      </c>
    </row>
    <row r="51" spans="2:15">
      <c r="B51" s="42">
        <v>44335</v>
      </c>
      <c r="C51">
        <v>1.32</v>
      </c>
      <c r="G51" t="s">
        <v>172</v>
      </c>
      <c r="O51" s="43">
        <v>2359.75</v>
      </c>
    </row>
    <row r="52" spans="2:15">
      <c r="B52" s="42">
        <v>44336</v>
      </c>
      <c r="C52">
        <v>0.85624</v>
      </c>
      <c r="G52" t="s">
        <v>172</v>
      </c>
      <c r="O52" s="43">
        <v>2344.15</v>
      </c>
    </row>
    <row r="53" spans="2:15">
      <c r="B53" s="42">
        <v>44337</v>
      </c>
      <c r="C53">
        <v>0.77149000000000001</v>
      </c>
      <c r="G53" t="s">
        <v>172</v>
      </c>
      <c r="O53" s="43">
        <v>2362.25</v>
      </c>
    </row>
    <row r="54" spans="2:15">
      <c r="B54" s="42">
        <v>44340</v>
      </c>
      <c r="C54">
        <v>1.19</v>
      </c>
      <c r="G54" t="s">
        <v>172</v>
      </c>
      <c r="O54" s="43">
        <v>2336.5500000000002</v>
      </c>
    </row>
    <row r="55" spans="2:15">
      <c r="B55" s="42">
        <v>44341</v>
      </c>
      <c r="C55">
        <v>1.1000000000000001</v>
      </c>
      <c r="G55" t="s">
        <v>172</v>
      </c>
      <c r="O55" s="43">
        <v>2344.0500000000002</v>
      </c>
    </row>
    <row r="56" spans="2:15">
      <c r="B56" s="42">
        <v>44342</v>
      </c>
      <c r="C56">
        <v>0.81110000000000004</v>
      </c>
      <c r="G56" t="s">
        <v>173</v>
      </c>
      <c r="O56" s="43">
        <v>2354</v>
      </c>
    </row>
    <row r="57" spans="2:15">
      <c r="B57" s="42">
        <v>44343</v>
      </c>
      <c r="C57">
        <v>3.76</v>
      </c>
      <c r="G57" t="s">
        <v>174</v>
      </c>
      <c r="O57" s="43">
        <v>2326.4</v>
      </c>
    </row>
    <row r="58" spans="2:15">
      <c r="B58" s="42">
        <v>44344</v>
      </c>
      <c r="C58">
        <v>1.22</v>
      </c>
      <c r="G58" t="s">
        <v>175</v>
      </c>
      <c r="O58" s="43">
        <v>2321.6999999999998</v>
      </c>
    </row>
    <row r="59" spans="2:15">
      <c r="B59" s="42">
        <v>44347</v>
      </c>
      <c r="C59">
        <v>1.18</v>
      </c>
      <c r="G59" t="s">
        <v>176</v>
      </c>
      <c r="O59" s="43">
        <v>2340.0500000000002</v>
      </c>
    </row>
    <row r="60" spans="2:15">
      <c r="B60" s="42">
        <v>44348</v>
      </c>
      <c r="C60">
        <v>1.1399999999999999</v>
      </c>
      <c r="G60" t="s">
        <v>177</v>
      </c>
      <c r="O60" s="43">
        <v>2358.3000000000002</v>
      </c>
    </row>
    <row r="61" spans="2:15">
      <c r="B61" s="42">
        <v>44349</v>
      </c>
      <c r="C61">
        <v>1.1100000000000001</v>
      </c>
      <c r="G61" t="s">
        <v>178</v>
      </c>
      <c r="O61" s="43">
        <v>2358.8000000000002</v>
      </c>
    </row>
    <row r="62" spans="2:15">
      <c r="B62" s="42">
        <v>44350</v>
      </c>
      <c r="C62">
        <v>0.86853000000000002</v>
      </c>
      <c r="G62" t="s">
        <v>179</v>
      </c>
      <c r="O62" s="43">
        <v>2363.25</v>
      </c>
    </row>
    <row r="63" spans="2:15">
      <c r="B63" s="42">
        <v>44351</v>
      </c>
      <c r="C63">
        <v>1.28</v>
      </c>
      <c r="G63">
        <v>146.47</v>
      </c>
      <c r="O63" s="43">
        <v>2342.0500000000002</v>
      </c>
    </row>
    <row r="64" spans="2:15">
      <c r="B64" s="42">
        <v>44354</v>
      </c>
      <c r="C64">
        <v>1.1299999999999999</v>
      </c>
      <c r="G64">
        <v>59.18</v>
      </c>
      <c r="O64" s="43">
        <v>2339.3000000000002</v>
      </c>
    </row>
    <row r="65" spans="2:15">
      <c r="B65" s="42">
        <v>44355</v>
      </c>
      <c r="C65">
        <v>1.1100000000000001</v>
      </c>
      <c r="G65">
        <v>66.319999999999993</v>
      </c>
      <c r="O65" s="43">
        <v>2359</v>
      </c>
    </row>
    <row r="66" spans="2:15">
      <c r="B66" s="42">
        <v>44356</v>
      </c>
      <c r="C66">
        <v>1.07</v>
      </c>
      <c r="G66">
        <v>83.65</v>
      </c>
      <c r="O66" s="43">
        <v>2356</v>
      </c>
    </row>
    <row r="67" spans="2:15">
      <c r="B67" s="42">
        <v>44357</v>
      </c>
      <c r="C67">
        <v>1.94</v>
      </c>
      <c r="G67">
        <v>3.58</v>
      </c>
      <c r="O67" s="43">
        <v>2378.8000000000002</v>
      </c>
    </row>
    <row r="68" spans="2:15">
      <c r="B68" s="42">
        <v>44358</v>
      </c>
      <c r="C68">
        <v>1.1299999999999999</v>
      </c>
      <c r="G68">
        <v>3.51</v>
      </c>
      <c r="O68" s="43">
        <v>2366.5</v>
      </c>
    </row>
    <row r="69" spans="2:15">
      <c r="B69" s="42">
        <v>44361</v>
      </c>
      <c r="C69">
        <v>1.76</v>
      </c>
      <c r="G69">
        <v>2.71</v>
      </c>
      <c r="O69" s="43">
        <v>2364.6</v>
      </c>
    </row>
    <row r="70" spans="2:15">
      <c r="B70" s="42">
        <v>44362</v>
      </c>
      <c r="C70">
        <v>1.22</v>
      </c>
      <c r="G70">
        <v>3.66</v>
      </c>
      <c r="O70" s="43">
        <v>2391.9499999999998</v>
      </c>
    </row>
    <row r="71" spans="2:15">
      <c r="B71" s="42">
        <v>44363</v>
      </c>
      <c r="C71">
        <v>2.15</v>
      </c>
      <c r="G71">
        <v>3.55</v>
      </c>
      <c r="O71" s="43">
        <v>2407.9</v>
      </c>
    </row>
    <row r="72" spans="2:15">
      <c r="B72" s="42">
        <v>44364</v>
      </c>
      <c r="C72">
        <v>1.56</v>
      </c>
      <c r="G72">
        <v>1.49</v>
      </c>
      <c r="O72" s="43">
        <v>2417.6999999999998</v>
      </c>
    </row>
    <row r="73" spans="2:15">
      <c r="B73" s="42">
        <v>44365</v>
      </c>
      <c r="C73">
        <v>3.94</v>
      </c>
      <c r="G73">
        <v>1.35</v>
      </c>
      <c r="O73" s="43">
        <v>2482.9</v>
      </c>
    </row>
    <row r="74" spans="2:15">
      <c r="B74" s="42">
        <v>44368</v>
      </c>
      <c r="C74">
        <v>2.5099999999999998</v>
      </c>
      <c r="G74" t="s">
        <v>180</v>
      </c>
      <c r="O74" s="43">
        <v>2514.35</v>
      </c>
    </row>
    <row r="75" spans="2:15">
      <c r="B75" s="42">
        <v>44369</v>
      </c>
      <c r="C75">
        <v>1.95</v>
      </c>
      <c r="G75" t="s">
        <v>181</v>
      </c>
      <c r="O75" s="43">
        <v>2490.25</v>
      </c>
    </row>
    <row r="76" spans="2:15">
      <c r="B76" s="42">
        <v>44370</v>
      </c>
      <c r="C76">
        <v>1.04</v>
      </c>
      <c r="G76" t="s">
        <v>179</v>
      </c>
      <c r="O76" s="43">
        <v>2480.5</v>
      </c>
    </row>
    <row r="77" spans="2:15">
      <c r="B77" s="42">
        <v>44371</v>
      </c>
      <c r="C77">
        <v>0.75968000000000002</v>
      </c>
      <c r="G77">
        <v>3.75</v>
      </c>
      <c r="O77" s="43">
        <v>2490.15</v>
      </c>
    </row>
    <row r="78" spans="2:15">
      <c r="B78" s="42">
        <v>44372</v>
      </c>
      <c r="C78">
        <v>1.1100000000000001</v>
      </c>
      <c r="G78">
        <v>9.6999999999999993</v>
      </c>
      <c r="O78" s="43">
        <v>2448.65</v>
      </c>
    </row>
    <row r="79" spans="2:15">
      <c r="B79" s="42">
        <v>44375</v>
      </c>
      <c r="C79">
        <v>0.69491000000000003</v>
      </c>
      <c r="G79" t="s">
        <v>182</v>
      </c>
      <c r="O79" s="43">
        <v>2460.1999999999998</v>
      </c>
    </row>
    <row r="80" spans="2:15">
      <c r="B80" s="42">
        <v>44376</v>
      </c>
      <c r="C80">
        <v>1.35</v>
      </c>
      <c r="G80" t="s">
        <v>182</v>
      </c>
      <c r="O80" s="43">
        <v>2492.5500000000002</v>
      </c>
    </row>
    <row r="81" spans="2:15">
      <c r="B81" s="42">
        <v>44377</v>
      </c>
      <c r="C81">
        <v>1.45</v>
      </c>
      <c r="G81" t="s">
        <v>183</v>
      </c>
      <c r="O81" s="43">
        <v>2471.3000000000002</v>
      </c>
    </row>
    <row r="82" spans="2:15">
      <c r="B82" s="42">
        <v>44378</v>
      </c>
      <c r="C82">
        <v>0.73504000000000003</v>
      </c>
      <c r="G82" t="s">
        <v>184</v>
      </c>
      <c r="O82" s="43">
        <v>2478</v>
      </c>
    </row>
    <row r="83" spans="2:15">
      <c r="B83" s="42">
        <v>44379</v>
      </c>
      <c r="C83">
        <v>0.86023000000000005</v>
      </c>
      <c r="G83" t="s">
        <v>185</v>
      </c>
      <c r="O83" s="43">
        <v>2487.3000000000002</v>
      </c>
    </row>
    <row r="84" spans="2:15">
      <c r="B84" s="42">
        <v>44382</v>
      </c>
      <c r="C84">
        <v>0.76170000000000004</v>
      </c>
      <c r="G84" t="s">
        <v>182</v>
      </c>
      <c r="O84" s="43">
        <v>2499.0500000000002</v>
      </c>
    </row>
    <row r="85" spans="2:15">
      <c r="B85" s="42">
        <v>44383</v>
      </c>
      <c r="C85">
        <v>0.46178000000000002</v>
      </c>
      <c r="G85" t="s">
        <v>182</v>
      </c>
      <c r="O85" s="43">
        <v>2472.5</v>
      </c>
    </row>
    <row r="86" spans="2:15">
      <c r="B86" s="42">
        <v>44384</v>
      </c>
      <c r="C86">
        <v>0.62314999999999998</v>
      </c>
      <c r="G86" t="s">
        <v>182</v>
      </c>
      <c r="O86" s="43">
        <v>2481.65</v>
      </c>
    </row>
    <row r="87" spans="2:15">
      <c r="B87" s="42">
        <v>44385</v>
      </c>
      <c r="C87">
        <v>1.1100000000000001</v>
      </c>
      <c r="G87" t="s">
        <v>182</v>
      </c>
      <c r="O87" s="43">
        <v>2447.5500000000002</v>
      </c>
    </row>
    <row r="88" spans="2:15">
      <c r="B88" s="42">
        <v>44386</v>
      </c>
      <c r="C88">
        <v>0.53808999999999996</v>
      </c>
      <c r="G88" t="s">
        <v>186</v>
      </c>
      <c r="O88" s="43">
        <v>2451.4499999999998</v>
      </c>
    </row>
    <row r="89" spans="2:15">
      <c r="B89" s="42">
        <v>44389</v>
      </c>
      <c r="C89">
        <v>0.54390000000000005</v>
      </c>
      <c r="G89" t="s">
        <v>187</v>
      </c>
      <c r="O89" s="43">
        <v>2444.15</v>
      </c>
    </row>
    <row r="90" spans="2:15">
      <c r="B90" s="42">
        <v>44390</v>
      </c>
      <c r="C90">
        <v>0.99439999999999995</v>
      </c>
      <c r="G90" t="s">
        <v>188</v>
      </c>
      <c r="O90" s="43">
        <v>2436.6999999999998</v>
      </c>
    </row>
    <row r="91" spans="2:15">
      <c r="B91" s="42">
        <v>44391</v>
      </c>
      <c r="C91">
        <v>1.38</v>
      </c>
      <c r="G91">
        <v>2.41</v>
      </c>
      <c r="O91" s="43">
        <v>2414.85</v>
      </c>
    </row>
    <row r="92" spans="2:15">
      <c r="B92" s="42">
        <v>44392</v>
      </c>
      <c r="C92">
        <v>0.69379000000000002</v>
      </c>
      <c r="G92" t="s">
        <v>182</v>
      </c>
      <c r="O92" s="43">
        <v>2412.35</v>
      </c>
    </row>
    <row r="93" spans="2:15">
      <c r="B93" s="42">
        <v>44393</v>
      </c>
      <c r="C93">
        <v>0.54540999999999995</v>
      </c>
      <c r="G93" t="s">
        <v>182</v>
      </c>
      <c r="O93" s="43">
        <v>2417.4</v>
      </c>
    </row>
    <row r="94" spans="2:15">
      <c r="B94" s="42">
        <v>44396</v>
      </c>
      <c r="C94">
        <v>0.46387</v>
      </c>
      <c r="O94" s="43">
        <v>2408.65</v>
      </c>
    </row>
    <row r="95" spans="2:15">
      <c r="B95" s="42">
        <v>44397</v>
      </c>
      <c r="C95">
        <v>1.06</v>
      </c>
      <c r="O95" s="43">
        <v>2434.9</v>
      </c>
    </row>
    <row r="96" spans="2:15">
      <c r="B96" s="42">
        <v>44399</v>
      </c>
      <c r="C96">
        <v>3.55</v>
      </c>
      <c r="O96" s="43">
        <v>2378.15</v>
      </c>
    </row>
    <row r="97" spans="2:15">
      <c r="B97" s="42">
        <v>44400</v>
      </c>
      <c r="C97">
        <v>1.52</v>
      </c>
      <c r="O97" s="43">
        <v>2358.1</v>
      </c>
    </row>
    <row r="98" spans="2:15">
      <c r="B98" s="42">
        <v>44403</v>
      </c>
      <c r="C98">
        <v>1.31</v>
      </c>
      <c r="O98" s="43">
        <v>2348.6999999999998</v>
      </c>
    </row>
    <row r="99" spans="2:15">
      <c r="B99" s="42">
        <v>44404</v>
      </c>
      <c r="C99">
        <v>1.66</v>
      </c>
      <c r="O99" s="43">
        <v>2342.4</v>
      </c>
    </row>
    <row r="100" spans="2:15">
      <c r="B100" s="42">
        <v>44405</v>
      </c>
      <c r="C100">
        <v>0.91237000000000001</v>
      </c>
      <c r="O100" s="43">
        <v>2361.4</v>
      </c>
    </row>
    <row r="101" spans="2:15">
      <c r="B101" s="42">
        <v>44406</v>
      </c>
      <c r="C101">
        <v>1.01</v>
      </c>
      <c r="O101" s="43">
        <v>2334.75</v>
      </c>
    </row>
    <row r="102" spans="2:15">
      <c r="B102" s="42">
        <v>44407</v>
      </c>
      <c r="C102">
        <v>1.71</v>
      </c>
      <c r="O102" s="43">
        <v>2333.3000000000002</v>
      </c>
    </row>
    <row r="103" spans="2:15">
      <c r="B103" s="42">
        <v>44410</v>
      </c>
      <c r="C103">
        <v>1.23</v>
      </c>
      <c r="O103" s="43">
        <v>2332.8000000000002</v>
      </c>
    </row>
    <row r="104" spans="2:15">
      <c r="B104" s="42">
        <v>44411</v>
      </c>
      <c r="C104">
        <v>1.73</v>
      </c>
      <c r="O104" s="43">
        <v>2386.85</v>
      </c>
    </row>
    <row r="105" spans="2:15">
      <c r="B105" s="42">
        <v>44412</v>
      </c>
      <c r="C105">
        <v>1.59</v>
      </c>
      <c r="O105" s="43">
        <v>2377.1</v>
      </c>
    </row>
    <row r="106" spans="2:15">
      <c r="B106" s="42">
        <v>44413</v>
      </c>
      <c r="C106">
        <v>0.92176000000000002</v>
      </c>
      <c r="O106" s="43">
        <v>2357.6999999999998</v>
      </c>
    </row>
    <row r="107" spans="2:15">
      <c r="B107" s="42">
        <v>44414</v>
      </c>
      <c r="C107">
        <v>1.43</v>
      </c>
      <c r="O107" s="43">
        <v>2371.5</v>
      </c>
    </row>
    <row r="108" spans="2:15">
      <c r="B108" s="42">
        <v>44417</v>
      </c>
      <c r="C108">
        <v>0.92147999999999997</v>
      </c>
      <c r="O108" s="43">
        <v>2384.5</v>
      </c>
    </row>
    <row r="109" spans="2:15">
      <c r="B109" s="42">
        <v>44418</v>
      </c>
      <c r="C109">
        <v>1.06</v>
      </c>
      <c r="O109" s="43">
        <v>2381.8000000000002</v>
      </c>
    </row>
    <row r="110" spans="2:15">
      <c r="B110" s="42">
        <v>44419</v>
      </c>
      <c r="C110">
        <v>1.3</v>
      </c>
      <c r="O110" s="43">
        <v>2390.4499999999998</v>
      </c>
    </row>
    <row r="111" spans="2:15">
      <c r="B111" s="42">
        <v>44420</v>
      </c>
      <c r="C111">
        <v>1.23</v>
      </c>
      <c r="O111" s="43">
        <v>2392.3000000000002</v>
      </c>
    </row>
    <row r="112" spans="2:15">
      <c r="B112" s="42">
        <v>44421</v>
      </c>
      <c r="C112">
        <v>1.03</v>
      </c>
      <c r="O112" s="43">
        <v>2404.5</v>
      </c>
    </row>
    <row r="113" spans="2:15">
      <c r="B113" s="42">
        <v>44424</v>
      </c>
      <c r="C113">
        <v>1.1499999999999999</v>
      </c>
      <c r="O113" s="43">
        <v>2426.4</v>
      </c>
    </row>
    <row r="114" spans="2:15">
      <c r="B114" s="42">
        <v>44425</v>
      </c>
      <c r="C114">
        <v>1.92</v>
      </c>
      <c r="O114" s="43">
        <v>2483.8000000000002</v>
      </c>
    </row>
    <row r="115" spans="2:15">
      <c r="B115" s="42">
        <v>44426</v>
      </c>
      <c r="C115">
        <v>1.55</v>
      </c>
      <c r="O115" s="43">
        <v>2486.0500000000002</v>
      </c>
    </row>
    <row r="116" spans="2:15">
      <c r="B116" s="42">
        <v>44428</v>
      </c>
      <c r="C116">
        <v>5.78</v>
      </c>
      <c r="O116" s="43">
        <v>2619.4</v>
      </c>
    </row>
    <row r="117" spans="2:15">
      <c r="B117" s="42">
        <v>44431</v>
      </c>
      <c r="C117">
        <v>2.16</v>
      </c>
      <c r="O117" s="43">
        <v>2634.15</v>
      </c>
    </row>
    <row r="118" spans="2:15">
      <c r="B118" s="42">
        <v>44432</v>
      </c>
      <c r="C118">
        <v>1.48</v>
      </c>
      <c r="O118" s="43">
        <v>2633</v>
      </c>
    </row>
    <row r="119" spans="2:15">
      <c r="B119" s="42">
        <v>44433</v>
      </c>
      <c r="C119">
        <v>1.75</v>
      </c>
      <c r="O119" s="43">
        <v>2645</v>
      </c>
    </row>
    <row r="120" spans="2:15">
      <c r="B120" s="42">
        <v>44434</v>
      </c>
      <c r="C120">
        <v>2.12</v>
      </c>
      <c r="O120" s="43">
        <v>2666.4</v>
      </c>
    </row>
    <row r="121" spans="2:15">
      <c r="B121" s="42">
        <v>44435</v>
      </c>
      <c r="C121">
        <v>1.18</v>
      </c>
      <c r="O121" s="43">
        <v>2677.95</v>
      </c>
    </row>
    <row r="122" spans="2:15">
      <c r="B122" s="42">
        <v>44438</v>
      </c>
      <c r="C122">
        <v>1.17</v>
      </c>
      <c r="O122" s="43">
        <v>2687.7</v>
      </c>
    </row>
    <row r="123" spans="2:15">
      <c r="B123" s="42">
        <v>44439</v>
      </c>
      <c r="C123">
        <v>2.54</v>
      </c>
      <c r="O123" s="43">
        <v>2724.1</v>
      </c>
    </row>
    <row r="124" spans="2:15">
      <c r="B124" s="42">
        <v>44440</v>
      </c>
      <c r="C124">
        <v>1.78</v>
      </c>
      <c r="O124" s="43">
        <v>2732.9</v>
      </c>
    </row>
    <row r="125" spans="2:15">
      <c r="B125" s="42">
        <v>44441</v>
      </c>
      <c r="C125">
        <v>1.95</v>
      </c>
      <c r="O125" s="43">
        <v>2801.05</v>
      </c>
    </row>
    <row r="126" spans="2:15">
      <c r="B126" s="42">
        <v>44442</v>
      </c>
      <c r="C126">
        <v>1.56</v>
      </c>
      <c r="O126" s="43">
        <v>2766.7</v>
      </c>
    </row>
    <row r="127" spans="2:15">
      <c r="B127" s="42">
        <v>44445</v>
      </c>
      <c r="C127">
        <v>1.44</v>
      </c>
      <c r="O127" s="43">
        <v>2780.6</v>
      </c>
    </row>
    <row r="128" spans="2:15">
      <c r="B128" s="42">
        <v>44446</v>
      </c>
      <c r="C128">
        <v>1.22</v>
      </c>
      <c r="O128" s="43">
        <v>2777.7</v>
      </c>
    </row>
    <row r="129" spans="2:15">
      <c r="B129" s="42">
        <v>44447</v>
      </c>
      <c r="C129">
        <v>0.94671000000000005</v>
      </c>
      <c r="O129" s="43">
        <v>2800.9</v>
      </c>
    </row>
    <row r="130" spans="2:15">
      <c r="B130" s="42">
        <v>44448</v>
      </c>
      <c r="C130">
        <v>0.87944999999999995</v>
      </c>
      <c r="O130" s="43">
        <v>2810.65</v>
      </c>
    </row>
    <row r="131" spans="2:15">
      <c r="B131" s="42">
        <v>44452</v>
      </c>
      <c r="C131">
        <v>1.34</v>
      </c>
      <c r="O131" s="43">
        <v>2786.35</v>
      </c>
    </row>
    <row r="132" spans="2:15">
      <c r="B132" s="42">
        <v>44453</v>
      </c>
      <c r="C132">
        <v>1.76</v>
      </c>
      <c r="O132" s="43">
        <v>2762.55</v>
      </c>
    </row>
    <row r="133" spans="2:15">
      <c r="B133" s="42">
        <v>44454</v>
      </c>
      <c r="C133">
        <v>1.36</v>
      </c>
      <c r="O133" s="43">
        <v>2775.45</v>
      </c>
    </row>
    <row r="134" spans="2:15">
      <c r="B134" s="42">
        <v>44455</v>
      </c>
      <c r="C134">
        <v>1.26</v>
      </c>
      <c r="O134" s="43">
        <v>2768.25</v>
      </c>
    </row>
    <row r="135" spans="2:15">
      <c r="B135" s="42">
        <v>44456</v>
      </c>
      <c r="C135">
        <v>3.1</v>
      </c>
      <c r="O135" s="43">
        <v>2722.25</v>
      </c>
    </row>
    <row r="136" spans="2:15">
      <c r="B136" s="42">
        <v>44459</v>
      </c>
      <c r="C136">
        <v>2.67</v>
      </c>
      <c r="O136" s="43">
        <v>2800.35</v>
      </c>
    </row>
    <row r="137" spans="2:15">
      <c r="B137" s="42">
        <v>44460</v>
      </c>
      <c r="C137">
        <v>2.2799999999999998</v>
      </c>
      <c r="O137" s="43">
        <v>2812.45</v>
      </c>
    </row>
    <row r="138" spans="2:15">
      <c r="B138" s="42">
        <v>44461</v>
      </c>
      <c r="C138">
        <v>1.58</v>
      </c>
      <c r="O138" s="43">
        <v>2784.5</v>
      </c>
    </row>
    <row r="139" spans="2:15">
      <c r="B139" s="42">
        <v>44462</v>
      </c>
      <c r="C139">
        <v>1.05</v>
      </c>
      <c r="O139" s="43">
        <v>2782.3</v>
      </c>
    </row>
    <row r="140" spans="2:15">
      <c r="B140" s="42">
        <v>44463</v>
      </c>
      <c r="C140">
        <v>1.64</v>
      </c>
      <c r="O140" s="43">
        <v>2746.65</v>
      </c>
    </row>
    <row r="141" spans="2:15">
      <c r="B141" s="42">
        <v>44466</v>
      </c>
      <c r="C141">
        <v>1.47</v>
      </c>
      <c r="O141" s="43">
        <v>2709.5</v>
      </c>
    </row>
    <row r="142" spans="2:15">
      <c r="B142" s="42">
        <v>44467</v>
      </c>
      <c r="C142">
        <v>1.08</v>
      </c>
      <c r="O142" s="43">
        <v>2723.85</v>
      </c>
    </row>
    <row r="143" spans="2:15">
      <c r="B143" s="42">
        <v>44468</v>
      </c>
      <c r="C143">
        <v>1.5</v>
      </c>
      <c r="O143" s="43">
        <v>2685.3</v>
      </c>
    </row>
    <row r="144" spans="2:15">
      <c r="B144" s="42">
        <v>44469</v>
      </c>
      <c r="C144">
        <v>1.62</v>
      </c>
      <c r="O144" s="43">
        <v>2701.8</v>
      </c>
    </row>
    <row r="145" spans="2:15">
      <c r="B145" s="42">
        <v>44470</v>
      </c>
      <c r="C145">
        <v>0.95611000000000002</v>
      </c>
      <c r="O145" s="43">
        <v>2704.05</v>
      </c>
    </row>
    <row r="146" spans="2:15">
      <c r="B146" s="42">
        <v>44473</v>
      </c>
      <c r="C146">
        <v>1.03</v>
      </c>
      <c r="O146" s="43">
        <v>2686.2</v>
      </c>
    </row>
    <row r="147" spans="2:15">
      <c r="B147" s="42">
        <v>44474</v>
      </c>
      <c r="C147">
        <v>0.56277999999999995</v>
      </c>
      <c r="O147" s="43">
        <v>2708.65</v>
      </c>
    </row>
    <row r="148" spans="2:15">
      <c r="B148" s="42">
        <v>44475</v>
      </c>
      <c r="C148">
        <v>0.86246999999999996</v>
      </c>
      <c r="O148" s="43">
        <v>2686.05</v>
      </c>
    </row>
    <row r="149" spans="2:15">
      <c r="B149" s="42">
        <v>44476</v>
      </c>
      <c r="C149">
        <v>1.08</v>
      </c>
      <c r="O149" s="43">
        <v>2669.4</v>
      </c>
    </row>
    <row r="150" spans="2:15">
      <c r="B150" s="42">
        <v>44477</v>
      </c>
      <c r="C150">
        <v>1.58</v>
      </c>
      <c r="O150" s="43">
        <v>2640.05</v>
      </c>
    </row>
    <row r="151" spans="2:15">
      <c r="B151" s="42">
        <v>44480</v>
      </c>
      <c r="C151">
        <v>1.0900000000000001</v>
      </c>
      <c r="O151" s="43">
        <v>2645.1</v>
      </c>
    </row>
    <row r="152" spans="2:15">
      <c r="B152" s="42">
        <v>44481</v>
      </c>
      <c r="C152">
        <v>1.17</v>
      </c>
      <c r="O152" s="43">
        <v>2676.15</v>
      </c>
    </row>
    <row r="153" spans="2:15">
      <c r="B153" s="42">
        <v>44482</v>
      </c>
      <c r="C153">
        <v>1.66</v>
      </c>
      <c r="O153" s="43">
        <v>2646.75</v>
      </c>
    </row>
    <row r="154" spans="2:15">
      <c r="B154" s="42">
        <v>44483</v>
      </c>
      <c r="C154">
        <v>2.16</v>
      </c>
      <c r="O154" s="43">
        <v>2649.55</v>
      </c>
    </row>
    <row r="155" spans="2:15">
      <c r="B155" s="42">
        <v>44487</v>
      </c>
      <c r="C155">
        <v>1.76</v>
      </c>
      <c r="O155" s="43">
        <v>2654</v>
      </c>
    </row>
    <row r="156" spans="2:15">
      <c r="B156" s="42">
        <v>44488</v>
      </c>
      <c r="C156">
        <v>5.43</v>
      </c>
      <c r="O156" s="43">
        <v>2546.8000000000002</v>
      </c>
    </row>
    <row r="157" spans="2:15">
      <c r="B157" s="42">
        <v>44489</v>
      </c>
      <c r="C157">
        <v>4.8600000000000003</v>
      </c>
      <c r="O157" s="43">
        <v>2478.65</v>
      </c>
    </row>
    <row r="158" spans="2:15">
      <c r="B158" s="42">
        <v>44490</v>
      </c>
      <c r="C158">
        <v>3.25</v>
      </c>
      <c r="O158" s="43">
        <v>2445.75</v>
      </c>
    </row>
    <row r="159" spans="2:15">
      <c r="B159" s="42">
        <v>44491</v>
      </c>
      <c r="C159">
        <v>1.85</v>
      </c>
      <c r="O159" s="43">
        <v>2454.1</v>
      </c>
    </row>
    <row r="160" spans="2:15">
      <c r="B160" s="42">
        <v>44494</v>
      </c>
      <c r="C160">
        <v>1.56</v>
      </c>
      <c r="O160" s="43">
        <v>2455.85</v>
      </c>
    </row>
    <row r="161" spans="2:15">
      <c r="B161" s="42">
        <v>44495</v>
      </c>
      <c r="C161">
        <v>1.6</v>
      </c>
      <c r="O161" s="43">
        <v>2436.85</v>
      </c>
    </row>
    <row r="162" spans="2:15">
      <c r="B162" s="42">
        <v>44496</v>
      </c>
      <c r="C162">
        <v>3.08</v>
      </c>
      <c r="O162" s="43">
        <v>2396.6</v>
      </c>
    </row>
    <row r="163" spans="2:15">
      <c r="B163" s="42">
        <v>44497</v>
      </c>
      <c r="C163">
        <v>2.02</v>
      </c>
      <c r="O163" s="43">
        <v>2389.65</v>
      </c>
    </row>
    <row r="164" spans="2:15">
      <c r="B164" s="42">
        <v>44498</v>
      </c>
      <c r="C164">
        <v>2.4500000000000002</v>
      </c>
      <c r="O164" s="43">
        <v>2393.15</v>
      </c>
    </row>
    <row r="165" spans="2:15">
      <c r="B165" s="42">
        <v>44501</v>
      </c>
      <c r="C165">
        <v>1.94</v>
      </c>
      <c r="O165" s="43">
        <v>2407.1</v>
      </c>
    </row>
    <row r="166" spans="2:15">
      <c r="B166" s="42">
        <v>44502</v>
      </c>
      <c r="C166">
        <v>1.35</v>
      </c>
      <c r="O166" s="43">
        <v>2418.9</v>
      </c>
    </row>
    <row r="167" spans="2:15">
      <c r="B167" s="42">
        <v>44503</v>
      </c>
      <c r="C167">
        <v>1.59</v>
      </c>
      <c r="O167" s="43">
        <v>2411.35</v>
      </c>
    </row>
    <row r="168" spans="2:15">
      <c r="B168" s="42">
        <v>44504</v>
      </c>
      <c r="C168">
        <v>0.24571999999999999</v>
      </c>
      <c r="O168" s="43">
        <v>2422.85</v>
      </c>
    </row>
    <row r="169" spans="2:15">
      <c r="B169" s="42">
        <v>44508</v>
      </c>
      <c r="C169">
        <v>2.56</v>
      </c>
      <c r="O169" s="43">
        <v>2431.9</v>
      </c>
    </row>
    <row r="170" spans="2:15">
      <c r="B170" s="42">
        <v>44509</v>
      </c>
      <c r="C170">
        <v>1.7</v>
      </c>
      <c r="O170" s="43">
        <v>2431.15</v>
      </c>
    </row>
    <row r="171" spans="2:15">
      <c r="B171" s="42">
        <v>44510</v>
      </c>
      <c r="C171">
        <v>1.79</v>
      </c>
      <c r="O171" s="43">
        <v>2400.15</v>
      </c>
    </row>
    <row r="172" spans="2:15">
      <c r="B172" s="42">
        <v>44511</v>
      </c>
      <c r="C172">
        <v>1.28</v>
      </c>
      <c r="O172" s="43">
        <v>2376.1999999999998</v>
      </c>
    </row>
    <row r="173" spans="2:15">
      <c r="B173" s="42">
        <v>44512</v>
      </c>
      <c r="C173">
        <v>1.65</v>
      </c>
      <c r="O173" s="43">
        <v>2404.9499999999998</v>
      </c>
    </row>
    <row r="174" spans="2:15">
      <c r="B174" s="42">
        <v>44515</v>
      </c>
      <c r="C174">
        <v>1.01</v>
      </c>
      <c r="O174" s="43">
        <v>2424.75</v>
      </c>
    </row>
    <row r="175" spans="2:15">
      <c r="B175" s="42">
        <v>44516</v>
      </c>
      <c r="C175">
        <v>1.25</v>
      </c>
      <c r="O175" s="43">
        <v>2406.65</v>
      </c>
    </row>
    <row r="176" spans="2:15">
      <c r="B176" s="42">
        <v>44517</v>
      </c>
      <c r="C176">
        <v>0.95681000000000005</v>
      </c>
      <c r="O176" s="43">
        <v>2391.15</v>
      </c>
    </row>
    <row r="177" spans="2:15">
      <c r="B177" s="42">
        <v>44518</v>
      </c>
      <c r="C177">
        <v>1.24</v>
      </c>
      <c r="O177" s="43">
        <v>2399.4</v>
      </c>
    </row>
    <row r="178" spans="2:15">
      <c r="B178" s="42">
        <v>44522</v>
      </c>
      <c r="C178">
        <v>1.63</v>
      </c>
      <c r="O178" s="43">
        <v>2388.5500000000002</v>
      </c>
    </row>
    <row r="179" spans="2:15">
      <c r="B179" s="42">
        <v>44523</v>
      </c>
      <c r="C179">
        <v>1.93</v>
      </c>
      <c r="O179" s="43">
        <v>2394.1999999999998</v>
      </c>
    </row>
    <row r="180" spans="2:15">
      <c r="B180" s="42">
        <v>44524</v>
      </c>
      <c r="C180">
        <v>0.99907000000000001</v>
      </c>
      <c r="O180" s="43">
        <v>2374.75</v>
      </c>
    </row>
    <row r="181" spans="2:15">
      <c r="B181" s="42">
        <v>44525</v>
      </c>
      <c r="C181">
        <v>1.36</v>
      </c>
      <c r="O181" s="43">
        <v>2349.0500000000002</v>
      </c>
    </row>
    <row r="182" spans="2:15">
      <c r="B182" s="42">
        <v>44526</v>
      </c>
      <c r="C182">
        <v>2.4500000000000002</v>
      </c>
      <c r="O182" s="43">
        <v>2335.1</v>
      </c>
    </row>
    <row r="183" spans="2:15">
      <c r="B183" s="42">
        <v>44529</v>
      </c>
      <c r="C183">
        <v>1.72</v>
      </c>
      <c r="O183" s="43">
        <v>2329.4</v>
      </c>
    </row>
    <row r="184" spans="2:15">
      <c r="B184" s="42">
        <v>44530</v>
      </c>
      <c r="C184">
        <v>3.93</v>
      </c>
      <c r="O184" s="43">
        <v>2317.5500000000002</v>
      </c>
    </row>
    <row r="185" spans="2:15">
      <c r="B185" s="42">
        <v>44531</v>
      </c>
      <c r="C185">
        <v>1.26</v>
      </c>
      <c r="O185" s="43">
        <v>2344.85</v>
      </c>
    </row>
    <row r="186" spans="2:15">
      <c r="B186" s="42">
        <v>44532</v>
      </c>
      <c r="C186">
        <v>1.67</v>
      </c>
      <c r="O186" s="43">
        <v>2383.3000000000002</v>
      </c>
    </row>
    <row r="187" spans="2:15">
      <c r="B187" s="42">
        <v>44533</v>
      </c>
      <c r="C187">
        <v>1.89</v>
      </c>
      <c r="O187" s="43">
        <v>2343.65</v>
      </c>
    </row>
    <row r="188" spans="2:15">
      <c r="B188" s="42">
        <v>44536</v>
      </c>
      <c r="C188">
        <v>1.08</v>
      </c>
      <c r="O188" s="43">
        <v>2306.5</v>
      </c>
    </row>
    <row r="189" spans="2:15">
      <c r="B189" s="42">
        <v>44537</v>
      </c>
      <c r="C189">
        <v>0.89531000000000005</v>
      </c>
      <c r="O189" s="43">
        <v>2321.6</v>
      </c>
    </row>
    <row r="190" spans="2:15">
      <c r="B190" s="42">
        <v>44538</v>
      </c>
      <c r="C190">
        <v>0.83977000000000002</v>
      </c>
      <c r="O190" s="43">
        <v>2340.6</v>
      </c>
    </row>
    <row r="191" spans="2:15">
      <c r="B191" s="42">
        <v>44539</v>
      </c>
      <c r="C191">
        <v>0.71667000000000003</v>
      </c>
      <c r="O191" s="43">
        <v>2339.75</v>
      </c>
    </row>
    <row r="192" spans="2:15">
      <c r="B192" s="42">
        <v>44540</v>
      </c>
      <c r="C192">
        <v>0.72453999999999996</v>
      </c>
      <c r="O192" s="43">
        <v>2332.8000000000002</v>
      </c>
    </row>
    <row r="193" spans="2:15">
      <c r="B193" s="42">
        <v>44543</v>
      </c>
      <c r="C193">
        <v>1.8</v>
      </c>
      <c r="O193" s="43">
        <v>2304.35</v>
      </c>
    </row>
    <row r="194" spans="2:15">
      <c r="B194" s="42">
        <v>44544</v>
      </c>
      <c r="C194">
        <v>1.22</v>
      </c>
      <c r="O194" s="43">
        <v>2318.3000000000002</v>
      </c>
    </row>
    <row r="195" spans="2:15">
      <c r="B195" s="42">
        <v>44545</v>
      </c>
      <c r="C195">
        <v>0.75512000000000001</v>
      </c>
      <c r="O195" s="43">
        <v>2320.9499999999998</v>
      </c>
    </row>
    <row r="196" spans="2:15">
      <c r="B196" s="42">
        <v>44546</v>
      </c>
      <c r="C196">
        <v>0.92649000000000004</v>
      </c>
      <c r="O196" s="43">
        <v>2309.5</v>
      </c>
    </row>
    <row r="197" spans="2:15">
      <c r="B197" s="42">
        <v>44547</v>
      </c>
      <c r="C197">
        <v>2.44</v>
      </c>
      <c r="O197" s="43">
        <v>2230.25</v>
      </c>
    </row>
    <row r="198" spans="2:15">
      <c r="B198" s="42">
        <v>44550</v>
      </c>
      <c r="C198">
        <v>2.1800000000000002</v>
      </c>
      <c r="O198" s="43">
        <v>2269.1</v>
      </c>
    </row>
    <row r="199" spans="2:15">
      <c r="B199" s="42">
        <v>44551</v>
      </c>
      <c r="C199">
        <v>1.59</v>
      </c>
      <c r="O199" s="43">
        <v>2272.85</v>
      </c>
    </row>
    <row r="200" spans="2:15">
      <c r="B200" s="42">
        <v>44552</v>
      </c>
      <c r="C200">
        <v>1.66</v>
      </c>
      <c r="O200" s="43">
        <v>2277.65</v>
      </c>
    </row>
    <row r="201" spans="2:15">
      <c r="B201" s="42">
        <v>44553</v>
      </c>
      <c r="C201">
        <v>1.42</v>
      </c>
      <c r="O201" s="43">
        <v>2300.65</v>
      </c>
    </row>
    <row r="202" spans="2:15">
      <c r="B202" s="42">
        <v>44554</v>
      </c>
      <c r="C202">
        <v>0.89549999999999996</v>
      </c>
      <c r="O202" s="43">
        <v>2296.9499999999998</v>
      </c>
    </row>
    <row r="203" spans="2:15">
      <c r="B203" s="42">
        <v>44557</v>
      </c>
      <c r="C203">
        <v>0.58430000000000004</v>
      </c>
      <c r="O203" s="43">
        <v>2301.4</v>
      </c>
    </row>
    <row r="204" spans="2:15">
      <c r="B204" s="42">
        <v>44558</v>
      </c>
      <c r="C204">
        <v>0.78371000000000002</v>
      </c>
      <c r="O204" s="43">
        <v>2309.1</v>
      </c>
    </row>
    <row r="205" spans="2:15">
      <c r="B205" s="42">
        <v>44559</v>
      </c>
      <c r="C205">
        <v>1.41</v>
      </c>
      <c r="O205" s="43">
        <v>2306.85</v>
      </c>
    </row>
    <row r="206" spans="2:15">
      <c r="B206" s="42">
        <v>44560</v>
      </c>
      <c r="C206">
        <v>0.96370999999999996</v>
      </c>
      <c r="O206" s="43">
        <v>2325.6</v>
      </c>
    </row>
    <row r="207" spans="2:15">
      <c r="B207" s="42">
        <v>44561</v>
      </c>
      <c r="C207">
        <v>1.1200000000000001</v>
      </c>
      <c r="O207" s="43">
        <v>2360.15</v>
      </c>
    </row>
    <row r="208" spans="2:15">
      <c r="B208" s="42">
        <v>44564</v>
      </c>
      <c r="C208">
        <v>0.87927999999999995</v>
      </c>
      <c r="O208" s="43">
        <v>2361.3000000000002</v>
      </c>
    </row>
    <row r="209" spans="2:15">
      <c r="B209" s="42">
        <v>44565</v>
      </c>
      <c r="C209">
        <v>1.48</v>
      </c>
      <c r="O209" s="43">
        <v>2401.25</v>
      </c>
    </row>
    <row r="210" spans="2:15">
      <c r="B210" s="42">
        <v>44566</v>
      </c>
      <c r="C210">
        <v>1.2</v>
      </c>
      <c r="O210" s="43">
        <v>2415.8000000000002</v>
      </c>
    </row>
    <row r="211" spans="2:15">
      <c r="B211" s="42">
        <v>44567</v>
      </c>
      <c r="C211">
        <v>1.2</v>
      </c>
      <c r="O211" s="43">
        <v>2391.4</v>
      </c>
    </row>
    <row r="212" spans="2:15">
      <c r="B212" s="42">
        <v>44568</v>
      </c>
      <c r="C212">
        <v>1.03</v>
      </c>
      <c r="O212" s="43">
        <v>2416.15</v>
      </c>
    </row>
    <row r="213" spans="2:15">
      <c r="B213" s="42">
        <v>44571</v>
      </c>
      <c r="C213">
        <v>0.91944999999999999</v>
      </c>
      <c r="O213" s="43">
        <v>2407.0500000000002</v>
      </c>
    </row>
    <row r="214" spans="2:15">
      <c r="B214" s="42">
        <v>44572</v>
      </c>
      <c r="C214">
        <v>1.32</v>
      </c>
      <c r="O214" s="43">
        <v>2403.65</v>
      </c>
    </row>
    <row r="215" spans="2:15">
      <c r="B215" s="42">
        <v>44573</v>
      </c>
      <c r="C215">
        <v>1.49</v>
      </c>
      <c r="O215" s="43">
        <v>2413.15</v>
      </c>
    </row>
    <row r="216" spans="2:15">
      <c r="B216" s="42">
        <v>44574</v>
      </c>
      <c r="C216">
        <v>1.59</v>
      </c>
      <c r="O216" s="43">
        <v>2414.1999999999998</v>
      </c>
    </row>
    <row r="217" spans="2:15">
      <c r="B217" s="42">
        <v>44575</v>
      </c>
      <c r="C217">
        <v>1.6</v>
      </c>
      <c r="O217" s="43">
        <v>2363.6999999999998</v>
      </c>
    </row>
    <row r="218" spans="2:15">
      <c r="B218" s="42">
        <v>44578</v>
      </c>
      <c r="C218">
        <v>0.91220999999999997</v>
      </c>
      <c r="O218" s="43">
        <v>2389.5500000000002</v>
      </c>
    </row>
    <row r="219" spans="2:15">
      <c r="B219" s="42">
        <v>44579</v>
      </c>
      <c r="C219">
        <v>1.67</v>
      </c>
      <c r="O219" s="43">
        <v>2369.5</v>
      </c>
    </row>
    <row r="220" spans="2:15">
      <c r="B220" s="42">
        <v>44580</v>
      </c>
      <c r="C220">
        <v>2.15</v>
      </c>
      <c r="O220" s="43">
        <v>2309.9</v>
      </c>
    </row>
    <row r="221" spans="2:15">
      <c r="B221" s="42">
        <v>44581</v>
      </c>
      <c r="C221">
        <v>2.83</v>
      </c>
      <c r="O221" s="43">
        <v>2261.8000000000002</v>
      </c>
    </row>
    <row r="222" spans="2:15">
      <c r="B222" s="42">
        <v>44582</v>
      </c>
      <c r="C222">
        <v>4.5999999999999996</v>
      </c>
      <c r="O222" s="43">
        <v>2325.4</v>
      </c>
    </row>
    <row r="223" spans="2:15">
      <c r="B223" s="42">
        <v>44585</v>
      </c>
      <c r="C223">
        <v>2.23</v>
      </c>
      <c r="O223" s="43">
        <v>2284.6</v>
      </c>
    </row>
    <row r="224" spans="2:15">
      <c r="B224" s="42">
        <v>44586</v>
      </c>
      <c r="C224">
        <v>1.84</v>
      </c>
      <c r="O224" s="43">
        <v>2327.25</v>
      </c>
    </row>
    <row r="225" spans="2:15">
      <c r="B225" s="42">
        <v>44588</v>
      </c>
      <c r="C225">
        <v>2.62</v>
      </c>
      <c r="O225" s="43">
        <v>2295.35</v>
      </c>
    </row>
    <row r="226" spans="2:15">
      <c r="B226" s="42">
        <v>44589</v>
      </c>
      <c r="C226">
        <v>1.97</v>
      </c>
      <c r="O226" s="43">
        <v>2283.5500000000002</v>
      </c>
    </row>
    <row r="227" spans="2:15">
      <c r="B227" s="42">
        <v>44592</v>
      </c>
      <c r="C227">
        <v>1.64</v>
      </c>
      <c r="O227" s="43">
        <v>2273.75</v>
      </c>
    </row>
    <row r="228" spans="2:15">
      <c r="B228" s="42">
        <v>44593</v>
      </c>
      <c r="C228">
        <v>1.27</v>
      </c>
      <c r="O228" s="43">
        <v>2305.65</v>
      </c>
    </row>
    <row r="229" spans="2:15">
      <c r="B229" s="42">
        <v>44594</v>
      </c>
      <c r="C229">
        <v>1.25</v>
      </c>
      <c r="O229" s="43">
        <v>2327.9</v>
      </c>
    </row>
    <row r="230" spans="2:15">
      <c r="B230" s="42">
        <v>44595</v>
      </c>
      <c r="C230">
        <v>1.45</v>
      </c>
      <c r="O230" s="43">
        <v>2298.15</v>
      </c>
    </row>
    <row r="231" spans="2:15">
      <c r="B231" s="42">
        <v>44596</v>
      </c>
      <c r="C231">
        <v>1.01</v>
      </c>
      <c r="O231" s="43">
        <v>2306.6</v>
      </c>
    </row>
    <row r="232" spans="2:15">
      <c r="B232" s="42">
        <v>44599</v>
      </c>
      <c r="C232">
        <v>1.21</v>
      </c>
      <c r="O232" s="43">
        <v>2257.6</v>
      </c>
    </row>
    <row r="233" spans="2:15">
      <c r="B233" s="42">
        <v>44600</v>
      </c>
      <c r="C233">
        <v>1.19</v>
      </c>
      <c r="O233" s="43">
        <v>2264.35</v>
      </c>
    </row>
    <row r="234" spans="2:15">
      <c r="B234" s="42">
        <v>44601</v>
      </c>
      <c r="C234">
        <v>1.05</v>
      </c>
      <c r="O234" s="43">
        <v>2277.65</v>
      </c>
    </row>
    <row r="235" spans="2:15">
      <c r="B235" s="42">
        <v>44602</v>
      </c>
      <c r="C235">
        <v>1.2</v>
      </c>
      <c r="O235" s="43">
        <v>2283.15</v>
      </c>
    </row>
    <row r="236" spans="2:15">
      <c r="B236" s="42">
        <v>44603</v>
      </c>
      <c r="C236">
        <v>2.1</v>
      </c>
      <c r="O236" s="43">
        <v>2258</v>
      </c>
    </row>
    <row r="237" spans="2:15">
      <c r="B237" s="42">
        <v>44606</v>
      </c>
      <c r="C237">
        <v>1.66</v>
      </c>
      <c r="O237" s="43">
        <v>2228.5500000000002</v>
      </c>
    </row>
    <row r="238" spans="2:15">
      <c r="B238" s="42">
        <v>44607</v>
      </c>
      <c r="C238">
        <v>1.53</v>
      </c>
      <c r="O238" s="43">
        <v>2290.1</v>
      </c>
    </row>
    <row r="239" spans="2:15">
      <c r="B239" s="42">
        <v>44608</v>
      </c>
      <c r="C239">
        <v>0.99567000000000005</v>
      </c>
      <c r="O239" s="43">
        <v>2286.5</v>
      </c>
    </row>
    <row r="240" spans="2:15">
      <c r="B240" s="42">
        <v>44609</v>
      </c>
      <c r="C240">
        <v>0.86936999999999998</v>
      </c>
      <c r="O240" s="43">
        <v>2307.5500000000002</v>
      </c>
    </row>
    <row r="241" spans="2:15">
      <c r="B241" s="42">
        <v>44610</v>
      </c>
      <c r="C241">
        <v>0.89071</v>
      </c>
      <c r="O241" s="43">
        <v>2312.5500000000002</v>
      </c>
    </row>
    <row r="242" spans="2:15">
      <c r="B242" s="42">
        <v>44613</v>
      </c>
      <c r="C242">
        <v>0.73792000000000002</v>
      </c>
      <c r="O242" s="43">
        <v>2294.8000000000002</v>
      </c>
    </row>
    <row r="243" spans="2:15">
      <c r="B243" s="42">
        <v>44614</v>
      </c>
      <c r="C243">
        <v>0.90266999999999997</v>
      </c>
      <c r="O243" s="43">
        <v>2269.9499999999998</v>
      </c>
    </row>
    <row r="244" spans="2:15">
      <c r="B244" s="42">
        <v>44615</v>
      </c>
      <c r="C244">
        <v>1.32</v>
      </c>
      <c r="O244" s="43">
        <v>2260.4</v>
      </c>
    </row>
    <row r="245" spans="2:15">
      <c r="B245" s="42">
        <v>44616</v>
      </c>
      <c r="C245">
        <v>3</v>
      </c>
      <c r="O245" s="43">
        <v>2171.4</v>
      </c>
    </row>
    <row r="246" spans="2:15">
      <c r="B246" s="42">
        <v>44617</v>
      </c>
      <c r="C246">
        <v>2.19</v>
      </c>
      <c r="O246" s="43">
        <v>2170.6999999999998</v>
      </c>
    </row>
    <row r="247" spans="2:15">
      <c r="B247" s="42">
        <v>44620</v>
      </c>
      <c r="C247">
        <v>2.33</v>
      </c>
      <c r="O247" s="43">
        <v>2172.1</v>
      </c>
    </row>
    <row r="248" spans="2:15">
      <c r="B248" s="42">
        <v>44622</v>
      </c>
      <c r="C248">
        <v>2.0299999999999998</v>
      </c>
      <c r="O248" s="43">
        <v>2149.1</v>
      </c>
    </row>
    <row r="249" spans="2:15">
      <c r="B249" s="42">
        <v>44623</v>
      </c>
      <c r="C249">
        <v>2.37</v>
      </c>
      <c r="O249" s="43">
        <v>2091</v>
      </c>
    </row>
    <row r="250" spans="2:15">
      <c r="B250" s="42">
        <v>44624</v>
      </c>
      <c r="C250">
        <v>6.32</v>
      </c>
      <c r="O250" s="43">
        <v>2019.5</v>
      </c>
    </row>
    <row r="251" spans="2:15">
      <c r="B251" s="42">
        <v>44627</v>
      </c>
      <c r="C251">
        <v>2.98</v>
      </c>
      <c r="O251" s="43">
        <v>1943.95</v>
      </c>
    </row>
    <row r="252" spans="2:15">
      <c r="B252" s="42">
        <v>44628</v>
      </c>
      <c r="C252">
        <v>3.21</v>
      </c>
      <c r="O252" s="43">
        <v>1949</v>
      </c>
    </row>
    <row r="253" spans="2:15">
      <c r="B253" s="42">
        <v>44629</v>
      </c>
      <c r="C253">
        <v>2.88</v>
      </c>
      <c r="O253" s="43">
        <v>1997.9</v>
      </c>
    </row>
    <row r="254" spans="2:15">
      <c r="B254" s="42">
        <v>44630</v>
      </c>
      <c r="C254">
        <v>4.88</v>
      </c>
      <c r="O254" s="43">
        <v>2101.9499999999998</v>
      </c>
    </row>
    <row r="255" spans="2:15">
      <c r="B255" s="42">
        <v>44631</v>
      </c>
      <c r="C255">
        <v>2.48</v>
      </c>
      <c r="O255" s="43">
        <v>2094.4</v>
      </c>
    </row>
    <row r="256" spans="2:15">
      <c r="B256" s="42">
        <v>44634</v>
      </c>
      <c r="C256">
        <v>1.73</v>
      </c>
      <c r="O256" s="43">
        <v>2059.3000000000002</v>
      </c>
    </row>
    <row r="257" spans="2:15">
      <c r="B257" s="42">
        <v>44635</v>
      </c>
      <c r="C257">
        <v>2.39</v>
      </c>
      <c r="O257" s="43">
        <v>2038.2</v>
      </c>
    </row>
    <row r="258" spans="2:15">
      <c r="B258" s="42">
        <v>44636</v>
      </c>
      <c r="C258">
        <v>2.81</v>
      </c>
      <c r="O258" s="43">
        <v>2072.15</v>
      </c>
    </row>
    <row r="259" spans="2:15">
      <c r="B259" s="42">
        <v>44637</v>
      </c>
      <c r="C259">
        <v>3</v>
      </c>
      <c r="O259" s="43">
        <v>2102.0500000000002</v>
      </c>
    </row>
    <row r="260" spans="2:15">
      <c r="B260" s="42">
        <v>44641</v>
      </c>
      <c r="C260">
        <v>1.67</v>
      </c>
      <c r="O260" s="43">
        <v>2051.1999999999998</v>
      </c>
    </row>
    <row r="261" spans="2:15">
      <c r="B261" s="42">
        <v>44642</v>
      </c>
      <c r="C261">
        <v>5.36</v>
      </c>
      <c r="O261" s="43">
        <v>1993.5</v>
      </c>
    </row>
    <row r="262" spans="2:15">
      <c r="B262" s="42">
        <v>44643</v>
      </c>
      <c r="C262">
        <v>3.21</v>
      </c>
      <c r="O262" s="43">
        <v>1978.55</v>
      </c>
    </row>
    <row r="263" spans="2:15">
      <c r="B263" s="42">
        <v>44644</v>
      </c>
      <c r="C263">
        <v>3.05</v>
      </c>
      <c r="O263" s="43">
        <v>1965.9</v>
      </c>
    </row>
    <row r="264" spans="2:15">
      <c r="B264" s="42">
        <v>44645</v>
      </c>
      <c r="C264">
        <v>2.23</v>
      </c>
      <c r="O264" s="43">
        <v>1953</v>
      </c>
    </row>
    <row r="265" spans="2:15">
      <c r="B265" s="42">
        <v>44648</v>
      </c>
      <c r="C265">
        <v>1.79</v>
      </c>
      <c r="O265" s="43">
        <v>1975.1</v>
      </c>
    </row>
    <row r="266" spans="2:15">
      <c r="B266" s="42">
        <v>44649</v>
      </c>
      <c r="C266">
        <v>1.25</v>
      </c>
      <c r="O266" s="43">
        <v>1987.05</v>
      </c>
    </row>
    <row r="267" spans="2:15">
      <c r="B267" s="42">
        <v>44650</v>
      </c>
      <c r="C267">
        <v>1.48</v>
      </c>
      <c r="O267" s="43">
        <v>2015.9</v>
      </c>
    </row>
    <row r="268" spans="2:15">
      <c r="B268" s="42">
        <v>44651</v>
      </c>
      <c r="C268">
        <v>2.54</v>
      </c>
      <c r="O268" s="43">
        <v>2048.65</v>
      </c>
    </row>
    <row r="269" spans="2:15">
      <c r="B269" s="42">
        <v>44652</v>
      </c>
      <c r="C269">
        <v>1.71</v>
      </c>
      <c r="O269" s="43">
        <v>2078.15</v>
      </c>
    </row>
    <row r="270" spans="2:15">
      <c r="B270" s="42">
        <v>44655</v>
      </c>
      <c r="C270">
        <v>1.69</v>
      </c>
      <c r="O270" s="43">
        <v>2128.4499999999998</v>
      </c>
    </row>
    <row r="271" spans="2:15">
      <c r="B271" s="42">
        <v>44656</v>
      </c>
      <c r="C271">
        <v>1.28</v>
      </c>
      <c r="O271" s="43">
        <v>2139.8000000000002</v>
      </c>
    </row>
    <row r="272" spans="2:15">
      <c r="B272" s="42">
        <v>44657</v>
      </c>
      <c r="C272">
        <v>1.74</v>
      </c>
      <c r="O272" s="43">
        <v>2142.0500000000002</v>
      </c>
    </row>
    <row r="273" spans="2:15">
      <c r="B273" s="42">
        <v>44658</v>
      </c>
      <c r="C273">
        <v>1.82</v>
      </c>
      <c r="O273" s="43">
        <v>2164.8000000000002</v>
      </c>
    </row>
    <row r="274" spans="2:15">
      <c r="B274" s="42">
        <v>44659</v>
      </c>
      <c r="C274">
        <v>1.69</v>
      </c>
      <c r="O274" s="43">
        <v>2183.0500000000002</v>
      </c>
    </row>
    <row r="275" spans="2:15">
      <c r="B275" s="42">
        <v>44662</v>
      </c>
      <c r="C275">
        <v>1.38</v>
      </c>
      <c r="O275" s="43">
        <v>2163.0500000000002</v>
      </c>
    </row>
    <row r="276" spans="2:15">
      <c r="B276" s="42">
        <v>44663</v>
      </c>
      <c r="C276">
        <v>1.37</v>
      </c>
      <c r="O276" s="43">
        <v>2132.25</v>
      </c>
    </row>
    <row r="277" spans="2:15">
      <c r="B277" s="42">
        <v>44664</v>
      </c>
      <c r="C277">
        <v>1.07</v>
      </c>
      <c r="O277" s="43">
        <v>2152.15</v>
      </c>
    </row>
    <row r="278" spans="2:15">
      <c r="B278" s="42">
        <v>44669</v>
      </c>
      <c r="C278">
        <v>1.83</v>
      </c>
      <c r="O278" s="43">
        <v>2177.65</v>
      </c>
    </row>
    <row r="279" spans="2:15">
      <c r="B279" s="42">
        <v>44670</v>
      </c>
      <c r="C279">
        <v>1.78</v>
      </c>
      <c r="O279" s="43">
        <v>2113.0500000000002</v>
      </c>
    </row>
    <row r="280" spans="2:15">
      <c r="B280" s="42">
        <v>44671</v>
      </c>
      <c r="C280">
        <v>1.51</v>
      </c>
      <c r="O280" s="43">
        <v>2164.9499999999998</v>
      </c>
    </row>
    <row r="281" spans="2:15">
      <c r="B281" s="42">
        <v>44672</v>
      </c>
      <c r="C281">
        <v>2.2400000000000002</v>
      </c>
      <c r="O281" s="43">
        <v>2197.9499999999998</v>
      </c>
    </row>
    <row r="282" spans="2:15">
      <c r="B282" s="42">
        <v>44673</v>
      </c>
      <c r="C282">
        <v>3.52</v>
      </c>
      <c r="O282" s="43">
        <v>2126.9499999999998</v>
      </c>
    </row>
    <row r="283" spans="2:15">
      <c r="B283" s="42">
        <v>44676</v>
      </c>
      <c r="C283">
        <v>2.44</v>
      </c>
      <c r="O283" s="43">
        <v>2100.75</v>
      </c>
    </row>
    <row r="284" spans="2:15">
      <c r="B284" s="42">
        <v>44677</v>
      </c>
      <c r="C284">
        <v>1.45</v>
      </c>
      <c r="O284" s="43">
        <v>2148.35</v>
      </c>
    </row>
    <row r="285" spans="2:15">
      <c r="B285" s="42">
        <v>44678</v>
      </c>
      <c r="C285">
        <v>2.21</v>
      </c>
      <c r="O285" s="43">
        <v>2145.1</v>
      </c>
    </row>
    <row r="286" spans="2:15">
      <c r="B286" s="42">
        <v>44679</v>
      </c>
      <c r="C286">
        <v>5.87</v>
      </c>
      <c r="O286" s="43">
        <v>2241.85</v>
      </c>
    </row>
    <row r="287" spans="2:15">
      <c r="B287" s="42">
        <v>44680</v>
      </c>
      <c r="C287">
        <v>2.68</v>
      </c>
      <c r="O287" s="43">
        <v>2234.85</v>
      </c>
    </row>
    <row r="288" spans="2:15">
      <c r="B288" s="42">
        <v>44683</v>
      </c>
      <c r="C288">
        <v>1.54</v>
      </c>
      <c r="O288" s="43">
        <v>2230.5</v>
      </c>
    </row>
    <row r="289" spans="2:15">
      <c r="B289" s="42">
        <v>44685</v>
      </c>
      <c r="C289">
        <v>1.61</v>
      </c>
      <c r="O289" s="43">
        <v>2171.5500000000002</v>
      </c>
    </row>
    <row r="290" spans="2:15">
      <c r="B290" s="42">
        <v>44686</v>
      </c>
      <c r="C290">
        <v>1.1000000000000001</v>
      </c>
      <c r="O290" s="43">
        <v>2166.6</v>
      </c>
    </row>
    <row r="291" spans="2:15">
      <c r="B291" s="42">
        <v>44687</v>
      </c>
      <c r="C291">
        <v>1.59</v>
      </c>
      <c r="O291" s="43">
        <v>2149.1999999999998</v>
      </c>
    </row>
    <row r="292" spans="2:15">
      <c r="B292" s="42">
        <v>44690</v>
      </c>
      <c r="C292">
        <v>1.34</v>
      </c>
      <c r="O292" s="43">
        <v>2116.65</v>
      </c>
    </row>
    <row r="293" spans="2:15">
      <c r="B293" s="42">
        <v>44691</v>
      </c>
      <c r="C293">
        <v>2.16</v>
      </c>
      <c r="O293" s="43">
        <v>2180.4</v>
      </c>
    </row>
    <row r="294" spans="2:15">
      <c r="B294" s="42">
        <v>44692</v>
      </c>
      <c r="C294">
        <v>1.86</v>
      </c>
      <c r="O294" s="43">
        <v>2163.5</v>
      </c>
    </row>
    <row r="295" spans="2:15">
      <c r="B295" s="42">
        <v>44693</v>
      </c>
      <c r="C295">
        <v>1.53</v>
      </c>
      <c r="O295" s="43">
        <v>2138.8000000000002</v>
      </c>
    </row>
    <row r="296" spans="2:15">
      <c r="B296" s="42">
        <v>44694</v>
      </c>
      <c r="C296">
        <v>2.06</v>
      </c>
      <c r="O296" s="43">
        <v>2194.1</v>
      </c>
    </row>
    <row r="297" spans="2:15">
      <c r="B297" s="42">
        <v>44697</v>
      </c>
      <c r="C297">
        <v>1.4</v>
      </c>
      <c r="O297" s="43">
        <v>2217.25</v>
      </c>
    </row>
    <row r="298" spans="2:15">
      <c r="B298" s="42">
        <v>44698</v>
      </c>
      <c r="C298">
        <v>2.06</v>
      </c>
      <c r="O298" s="43">
        <v>2245</v>
      </c>
    </row>
    <row r="299" spans="2:15">
      <c r="B299" s="42">
        <v>44699</v>
      </c>
      <c r="C299">
        <v>2.14</v>
      </c>
      <c r="O299" s="43">
        <v>2291.4</v>
      </c>
    </row>
    <row r="300" spans="2:15">
      <c r="B300" s="42">
        <v>44700</v>
      </c>
      <c r="C300">
        <v>1.73</v>
      </c>
      <c r="O300" s="43">
        <v>2264.5500000000002</v>
      </c>
    </row>
    <row r="301" spans="2:15">
      <c r="B301" s="42">
        <v>44701</v>
      </c>
      <c r="C301">
        <v>2.6</v>
      </c>
      <c r="O301" s="43">
        <v>2325.9499999999998</v>
      </c>
    </row>
    <row r="302" spans="2:15">
      <c r="B302" s="42">
        <v>44704</v>
      </c>
      <c r="C302">
        <v>2.36</v>
      </c>
      <c r="O302" s="43">
        <v>2379.8000000000002</v>
      </c>
    </row>
    <row r="303" spans="2:15">
      <c r="B303" s="42">
        <v>44705</v>
      </c>
      <c r="C303">
        <v>3.08</v>
      </c>
      <c r="O303" s="43">
        <v>2309.65</v>
      </c>
    </row>
    <row r="304" spans="2:15">
      <c r="B304" s="42">
        <v>44706</v>
      </c>
      <c r="C304">
        <v>1.88</v>
      </c>
      <c r="O304" s="43">
        <v>2298.6999999999998</v>
      </c>
    </row>
    <row r="305" spans="2:15">
      <c r="B305" s="42">
        <v>44707</v>
      </c>
      <c r="C305">
        <v>2.2999999999999998</v>
      </c>
      <c r="O305" s="43">
        <v>2280.1999999999998</v>
      </c>
    </row>
    <row r="306" spans="2:15">
      <c r="B306" s="42">
        <v>44708</v>
      </c>
      <c r="C306">
        <v>1.01</v>
      </c>
      <c r="O306" s="43">
        <v>2330.6</v>
      </c>
    </row>
    <row r="307" spans="2:15">
      <c r="B307" s="42">
        <v>44711</v>
      </c>
      <c r="C307">
        <v>0.93955999999999995</v>
      </c>
      <c r="O307" s="43">
        <v>2348.9499999999998</v>
      </c>
    </row>
    <row r="308" spans="2:15">
      <c r="B308" s="42">
        <v>44712</v>
      </c>
      <c r="C308">
        <v>3.12</v>
      </c>
      <c r="O308" s="43">
        <v>2353.25</v>
      </c>
    </row>
    <row r="309" spans="2:15">
      <c r="B309" s="42">
        <v>44713</v>
      </c>
      <c r="C309">
        <v>2.2000000000000002</v>
      </c>
      <c r="O309" s="43">
        <v>2308.4499999999998</v>
      </c>
    </row>
    <row r="310" spans="2:15">
      <c r="B310" s="42">
        <v>44714</v>
      </c>
      <c r="C310">
        <v>1.46</v>
      </c>
      <c r="O310" s="43">
        <v>2284.8000000000002</v>
      </c>
    </row>
    <row r="311" spans="2:15">
      <c r="B311" s="42">
        <v>44715</v>
      </c>
      <c r="C311">
        <v>1.85</v>
      </c>
      <c r="O311" s="43">
        <v>2291.9499999999998</v>
      </c>
    </row>
    <row r="312" spans="2:15">
      <c r="B312" s="42">
        <v>44718</v>
      </c>
      <c r="C312">
        <v>2.13</v>
      </c>
      <c r="O312" s="43">
        <v>2280.5</v>
      </c>
    </row>
    <row r="313" spans="2:15">
      <c r="B313" s="42">
        <v>44719</v>
      </c>
      <c r="C313">
        <v>2.0299999999999998</v>
      </c>
      <c r="O313" s="43">
        <v>2211.6</v>
      </c>
    </row>
    <row r="314" spans="2:15">
      <c r="B314" s="42">
        <v>44720</v>
      </c>
      <c r="C314">
        <v>1.51</v>
      </c>
      <c r="O314" s="43">
        <v>2197.0500000000002</v>
      </c>
    </row>
    <row r="315" spans="2:15">
      <c r="B315" s="42">
        <v>44721</v>
      </c>
      <c r="C315">
        <v>1.5</v>
      </c>
      <c r="O315" s="43">
        <v>2197.6999999999998</v>
      </c>
    </row>
    <row r="316" spans="2:15">
      <c r="B316" s="42">
        <v>44722</v>
      </c>
      <c r="C316">
        <v>1.64</v>
      </c>
      <c r="O316" s="43">
        <v>2199.9</v>
      </c>
    </row>
    <row r="317" spans="2:15">
      <c r="B317" s="42">
        <v>44725</v>
      </c>
      <c r="C317">
        <v>1.52</v>
      </c>
      <c r="O317" s="43">
        <v>2196.9</v>
      </c>
    </row>
    <row r="318" spans="2:15">
      <c r="B318" s="42">
        <v>44726</v>
      </c>
      <c r="C318">
        <v>1.59</v>
      </c>
      <c r="O318" s="43">
        <v>2171</v>
      </c>
    </row>
    <row r="319" spans="2:15">
      <c r="B319" s="42">
        <v>44727</v>
      </c>
      <c r="C319">
        <v>1.43</v>
      </c>
      <c r="O319" s="43">
        <v>2146.5500000000002</v>
      </c>
    </row>
    <row r="320" spans="2:15">
      <c r="B320" s="42">
        <v>44728</v>
      </c>
      <c r="C320">
        <v>1.35</v>
      </c>
      <c r="O320" s="43">
        <v>2146.6999999999998</v>
      </c>
    </row>
    <row r="321" spans="2:15">
      <c r="B321" s="42">
        <v>44729</v>
      </c>
      <c r="C321">
        <v>3.25</v>
      </c>
      <c r="O321" s="43">
        <v>2110.4499999999998</v>
      </c>
    </row>
    <row r="322" spans="2:15">
      <c r="B322" s="42">
        <v>44732</v>
      </c>
      <c r="C322">
        <v>2.02</v>
      </c>
      <c r="O322" s="43">
        <v>2195.9</v>
      </c>
    </row>
    <row r="323" spans="2:15">
      <c r="B323" s="42">
        <v>44733</v>
      </c>
      <c r="C323">
        <v>1.61</v>
      </c>
      <c r="O323" s="43">
        <v>2205</v>
      </c>
    </row>
    <row r="324" spans="2:15">
      <c r="B324" s="42">
        <v>44734</v>
      </c>
      <c r="C324">
        <v>1.74</v>
      </c>
      <c r="O324" s="43">
        <v>2202.85</v>
      </c>
    </row>
    <row r="325" spans="2:15">
      <c r="B325" s="42">
        <v>44735</v>
      </c>
      <c r="C325">
        <v>1.59</v>
      </c>
      <c r="O325" s="43">
        <v>2252.6</v>
      </c>
    </row>
    <row r="326" spans="2:15">
      <c r="B326" s="42">
        <v>44736</v>
      </c>
      <c r="C326">
        <v>1.93</v>
      </c>
      <c r="O326" s="43">
        <v>2303.9</v>
      </c>
    </row>
    <row r="327" spans="2:15">
      <c r="B327" s="42">
        <v>44739</v>
      </c>
      <c r="C327">
        <v>1.45</v>
      </c>
      <c r="O327" s="43">
        <v>2320.65</v>
      </c>
    </row>
    <row r="328" spans="2:15">
      <c r="B328" s="42">
        <v>44740</v>
      </c>
      <c r="C328">
        <v>1.4</v>
      </c>
      <c r="O328" s="43">
        <v>2317.65</v>
      </c>
    </row>
    <row r="329" spans="2:15">
      <c r="B329" s="42">
        <v>44741</v>
      </c>
      <c r="C329">
        <v>1.68</v>
      </c>
      <c r="O329" s="43">
        <v>2233.4499999999998</v>
      </c>
    </row>
    <row r="330" spans="2:15">
      <c r="B330" s="42">
        <v>44742</v>
      </c>
      <c r="C330">
        <v>2.39</v>
      </c>
      <c r="O330" s="43">
        <v>2230.6</v>
      </c>
    </row>
    <row r="331" spans="2:15">
      <c r="B331" s="42">
        <v>44743</v>
      </c>
      <c r="C331">
        <v>1.24</v>
      </c>
      <c r="O331" s="43">
        <v>2282.35</v>
      </c>
    </row>
    <row r="332" spans="2:15">
      <c r="B332" s="42">
        <v>44746</v>
      </c>
      <c r="C332">
        <v>2.41</v>
      </c>
      <c r="O332" s="43">
        <v>2375.1999999999998</v>
      </c>
    </row>
    <row r="333" spans="2:15">
      <c r="B333" s="42">
        <v>44747</v>
      </c>
      <c r="C333">
        <v>2.46</v>
      </c>
      <c r="O333" s="43">
        <v>2401.5</v>
      </c>
    </row>
    <row r="334" spans="2:15">
      <c r="B334" s="42">
        <v>44748</v>
      </c>
      <c r="C334">
        <v>4.7699999999999996</v>
      </c>
      <c r="O334" s="43">
        <v>2498.4</v>
      </c>
    </row>
    <row r="335" spans="2:15">
      <c r="B335" s="42">
        <v>44749</v>
      </c>
      <c r="C335">
        <v>3.33</v>
      </c>
      <c r="O335" s="43">
        <v>2472.9499999999998</v>
      </c>
    </row>
    <row r="336" spans="2:15">
      <c r="B336" s="42">
        <v>44750</v>
      </c>
      <c r="C336">
        <v>1.35</v>
      </c>
      <c r="O336" s="43">
        <v>2496.85</v>
      </c>
    </row>
    <row r="337" spans="2:15">
      <c r="B337" s="42">
        <v>44753</v>
      </c>
      <c r="C337">
        <v>1.59</v>
      </c>
      <c r="O337" s="43">
        <v>2490.6</v>
      </c>
    </row>
    <row r="338" spans="2:15">
      <c r="B338" s="42">
        <v>44754</v>
      </c>
      <c r="C338">
        <v>1.1200000000000001</v>
      </c>
      <c r="O338" s="43">
        <v>2449.5500000000002</v>
      </c>
    </row>
    <row r="339" spans="2:15">
      <c r="B339" s="42">
        <v>44755</v>
      </c>
      <c r="C339">
        <v>2.5299999999999998</v>
      </c>
      <c r="O339" s="43">
        <v>2497.75</v>
      </c>
    </row>
    <row r="340" spans="2:15">
      <c r="B340" s="42">
        <v>44756</v>
      </c>
      <c r="C340">
        <v>1.66</v>
      </c>
      <c r="O340" s="43">
        <v>2497.8000000000002</v>
      </c>
    </row>
    <row r="341" spans="2:15">
      <c r="B341" s="42">
        <v>44757</v>
      </c>
      <c r="C341">
        <v>3</v>
      </c>
      <c r="O341" s="43">
        <v>2568.5</v>
      </c>
    </row>
    <row r="342" spans="2:15">
      <c r="B342" s="42">
        <v>44760</v>
      </c>
      <c r="C342">
        <v>1.57</v>
      </c>
      <c r="O342" s="43">
        <v>2553.5</v>
      </c>
    </row>
    <row r="343" spans="2:15">
      <c r="B343" s="42">
        <v>44761</v>
      </c>
      <c r="C343">
        <v>1.47</v>
      </c>
      <c r="O343" s="43">
        <v>2567.9499999999998</v>
      </c>
    </row>
    <row r="344" spans="2:15">
      <c r="B344" s="42">
        <v>44762</v>
      </c>
      <c r="C344">
        <v>4.01</v>
      </c>
      <c r="O344" s="43">
        <v>2604.5</v>
      </c>
    </row>
    <row r="345" spans="2:15">
      <c r="B345" s="42">
        <v>44763</v>
      </c>
      <c r="C345">
        <v>1.99</v>
      </c>
      <c r="O345" s="43">
        <v>2607.4499999999998</v>
      </c>
    </row>
    <row r="346" spans="2:15">
      <c r="B346" s="42">
        <v>44764</v>
      </c>
      <c r="C346">
        <v>1.91</v>
      </c>
      <c r="O346" s="43">
        <v>2640.6</v>
      </c>
    </row>
    <row r="347" spans="2:15">
      <c r="B347" s="42">
        <v>44767</v>
      </c>
      <c r="C347">
        <v>1.25</v>
      </c>
      <c r="O347" s="43">
        <v>2623.6</v>
      </c>
    </row>
    <row r="348" spans="2:15">
      <c r="B348" s="42">
        <v>44768</v>
      </c>
      <c r="C348">
        <v>1.69</v>
      </c>
      <c r="O348" s="43">
        <v>2547.1</v>
      </c>
    </row>
    <row r="349" spans="2:15">
      <c r="B349" s="42">
        <v>44769</v>
      </c>
      <c r="C349">
        <v>1.4</v>
      </c>
      <c r="O349" s="43">
        <v>2581.9499999999998</v>
      </c>
    </row>
    <row r="350" spans="2:15">
      <c r="B350" s="42">
        <v>44770</v>
      </c>
      <c r="C350">
        <v>1.44</v>
      </c>
      <c r="O350" s="43">
        <v>2620.1</v>
      </c>
    </row>
    <row r="351" spans="2:15">
      <c r="B351" s="42">
        <v>44771</v>
      </c>
      <c r="C351">
        <v>1.46</v>
      </c>
      <c r="O351" s="43">
        <v>2637.4</v>
      </c>
    </row>
    <row r="352" spans="2:15">
      <c r="B352" s="42">
        <v>44774</v>
      </c>
      <c r="C352">
        <v>1.56</v>
      </c>
      <c r="O352" s="43">
        <v>2593</v>
      </c>
    </row>
    <row r="353" spans="2:15">
      <c r="B353" s="42">
        <v>44775</v>
      </c>
      <c r="C353">
        <v>1.36</v>
      </c>
      <c r="O353" s="43">
        <v>2635.25</v>
      </c>
    </row>
    <row r="354" spans="2:15">
      <c r="B354" s="42">
        <v>44776</v>
      </c>
      <c r="C354">
        <v>1.77</v>
      </c>
      <c r="O354" s="43">
        <v>2626.35</v>
      </c>
    </row>
    <row r="355" spans="2:15">
      <c r="B355" s="42">
        <v>44777</v>
      </c>
      <c r="C355">
        <v>1.19</v>
      </c>
      <c r="O355" s="43">
        <v>2627.95</v>
      </c>
    </row>
    <row r="356" spans="2:15">
      <c r="B356" s="42">
        <v>44778</v>
      </c>
      <c r="C356">
        <v>1.18</v>
      </c>
      <c r="O356" s="43">
        <v>2645.4</v>
      </c>
    </row>
    <row r="357" spans="2:15">
      <c r="B357" s="42">
        <v>44781</v>
      </c>
      <c r="C357">
        <v>1.02</v>
      </c>
      <c r="O357" s="43">
        <v>2650.35</v>
      </c>
    </row>
    <row r="358" spans="2:15">
      <c r="B358" s="42">
        <v>44783</v>
      </c>
      <c r="C358">
        <v>1.1000000000000001</v>
      </c>
      <c r="O358" s="43">
        <v>2642.8</v>
      </c>
    </row>
    <row r="359" spans="2:15">
      <c r="B359" s="42">
        <v>44784</v>
      </c>
      <c r="C359">
        <v>0.81067</v>
      </c>
      <c r="O359" s="43">
        <v>2613.6999999999998</v>
      </c>
    </row>
    <row r="360" spans="2:15">
      <c r="B360" s="42">
        <v>44785</v>
      </c>
      <c r="C360">
        <v>1.47</v>
      </c>
      <c r="O360" s="43">
        <v>2594.9499999999998</v>
      </c>
    </row>
    <row r="361" spans="2:15">
      <c r="B361" s="42">
        <v>44789</v>
      </c>
      <c r="C361">
        <v>1.58</v>
      </c>
      <c r="O361" s="43">
        <v>2644.5</v>
      </c>
    </row>
    <row r="362" spans="2:15">
      <c r="B362" s="42">
        <v>44790</v>
      </c>
      <c r="C362">
        <v>1.71</v>
      </c>
      <c r="O362" s="43">
        <v>2684.65</v>
      </c>
    </row>
    <row r="363" spans="2:15">
      <c r="B363" s="42">
        <v>44791</v>
      </c>
      <c r="C363">
        <v>1.47</v>
      </c>
      <c r="O363" s="43">
        <v>2682.05</v>
      </c>
    </row>
    <row r="364" spans="2:15">
      <c r="B364" s="42">
        <v>44792</v>
      </c>
      <c r="C364">
        <v>1.32</v>
      </c>
      <c r="O364" s="43">
        <v>2634.55</v>
      </c>
    </row>
    <row r="365" spans="2:15">
      <c r="B365" s="42">
        <v>44795</v>
      </c>
      <c r="C365">
        <v>1.41</v>
      </c>
      <c r="O365" s="43">
        <v>2626.7</v>
      </c>
    </row>
    <row r="366" spans="2:15">
      <c r="B366" s="42">
        <v>44796</v>
      </c>
      <c r="C366">
        <v>1.31</v>
      </c>
      <c r="O366" s="43">
        <v>2592.75</v>
      </c>
    </row>
    <row r="367" spans="2:15">
      <c r="B367" s="42">
        <v>44797</v>
      </c>
      <c r="C367">
        <v>1.24</v>
      </c>
      <c r="O367" s="43">
        <v>2588.25</v>
      </c>
    </row>
    <row r="368" spans="2:15">
      <c r="B368" s="42">
        <v>44798</v>
      </c>
      <c r="C368">
        <v>1.1100000000000001</v>
      </c>
      <c r="O368" s="43">
        <v>2574.1999999999998</v>
      </c>
    </row>
    <row r="369" spans="2:15">
      <c r="B369" s="42">
        <v>44799</v>
      </c>
      <c r="C369">
        <v>1.05</v>
      </c>
      <c r="O369" s="43">
        <v>2571.5500000000002</v>
      </c>
    </row>
    <row r="370" spans="2:15">
      <c r="B370" s="42">
        <v>44802</v>
      </c>
      <c r="C370">
        <v>1.45</v>
      </c>
      <c r="O370" s="43">
        <v>2575.8000000000002</v>
      </c>
    </row>
    <row r="371" spans="2:15">
      <c r="B371" s="42">
        <v>44803</v>
      </c>
      <c r="C371">
        <v>2.23</v>
      </c>
      <c r="O371" s="43">
        <v>2659.85</v>
      </c>
    </row>
    <row r="372" spans="2:15">
      <c r="B372" s="42">
        <v>44805</v>
      </c>
      <c r="C372">
        <v>1.7</v>
      </c>
      <c r="O372" s="43">
        <v>2606</v>
      </c>
    </row>
    <row r="373" spans="2:15">
      <c r="B373" s="42">
        <v>44806</v>
      </c>
      <c r="C373">
        <v>0.93759999999999999</v>
      </c>
      <c r="O373" s="43">
        <v>2603.6</v>
      </c>
    </row>
    <row r="374" spans="2:15">
      <c r="B374" s="42">
        <v>44809</v>
      </c>
      <c r="C374">
        <v>1.27</v>
      </c>
      <c r="O374" s="43">
        <v>2600.6</v>
      </c>
    </row>
    <row r="375" spans="2:15">
      <c r="B375" s="42">
        <v>44810</v>
      </c>
      <c r="C375">
        <v>1.25</v>
      </c>
      <c r="O375" s="43">
        <v>2573.1</v>
      </c>
    </row>
    <row r="376" spans="2:15">
      <c r="B376" s="42">
        <v>44811</v>
      </c>
      <c r="C376">
        <v>1.34</v>
      </c>
      <c r="O376" s="43">
        <v>2564.6</v>
      </c>
    </row>
    <row r="377" spans="2:15">
      <c r="B377" s="42">
        <v>44812</v>
      </c>
      <c r="C377">
        <v>1</v>
      </c>
      <c r="O377" s="43">
        <v>2577.15</v>
      </c>
    </row>
    <row r="378" spans="2:15">
      <c r="B378" s="42">
        <v>44813</v>
      </c>
      <c r="C378">
        <v>1.79</v>
      </c>
      <c r="O378" s="43">
        <v>2588.6999999999998</v>
      </c>
    </row>
    <row r="379" spans="2:15">
      <c r="B379" s="42">
        <v>44816</v>
      </c>
      <c r="C379">
        <v>1.6</v>
      </c>
      <c r="O379" s="43">
        <v>2580.4</v>
      </c>
    </row>
    <row r="380" spans="2:15">
      <c r="B380" s="42">
        <v>44817</v>
      </c>
      <c r="C380">
        <v>1.34</v>
      </c>
      <c r="O380" s="43">
        <v>2586.6</v>
      </c>
    </row>
    <row r="381" spans="2:15">
      <c r="B381" s="42">
        <v>44818</v>
      </c>
      <c r="C381">
        <v>1.61</v>
      </c>
      <c r="O381" s="43">
        <v>2571.4</v>
      </c>
    </row>
    <row r="382" spans="2:15">
      <c r="B382" s="42">
        <v>44819</v>
      </c>
      <c r="C382">
        <v>1.2</v>
      </c>
      <c r="O382" s="43">
        <v>2560.4</v>
      </c>
    </row>
    <row r="383" spans="2:15">
      <c r="B383" s="42">
        <v>44820</v>
      </c>
      <c r="C383">
        <v>2.52</v>
      </c>
      <c r="O383" s="43">
        <v>2528.15</v>
      </c>
    </row>
    <row r="384" spans="2:15">
      <c r="B384" s="42">
        <v>44823</v>
      </c>
      <c r="C384">
        <v>1.17</v>
      </c>
      <c r="O384" s="43">
        <v>2579.25</v>
      </c>
    </row>
    <row r="385" spans="2:15">
      <c r="B385" s="42">
        <v>44824</v>
      </c>
      <c r="C385">
        <v>1.25</v>
      </c>
      <c r="O385" s="43">
        <v>2583.5500000000002</v>
      </c>
    </row>
    <row r="386" spans="2:15">
      <c r="B386" s="42">
        <v>44825</v>
      </c>
      <c r="C386">
        <v>1.96</v>
      </c>
      <c r="O386" s="43">
        <v>2623.6</v>
      </c>
    </row>
    <row r="387" spans="2:15">
      <c r="B387" s="42">
        <v>44826</v>
      </c>
      <c r="C387">
        <v>2.62</v>
      </c>
      <c r="O387" s="43">
        <v>2692.75</v>
      </c>
    </row>
    <row r="388" spans="2:15">
      <c r="B388" s="42">
        <v>44827</v>
      </c>
      <c r="C388">
        <v>1.79</v>
      </c>
      <c r="O388" s="43">
        <v>2682.05</v>
      </c>
    </row>
    <row r="389" spans="2:15">
      <c r="B389" s="42">
        <v>44830</v>
      </c>
      <c r="C389">
        <v>2.68</v>
      </c>
      <c r="O389" s="43">
        <v>2660.55</v>
      </c>
    </row>
    <row r="390" spans="2:15">
      <c r="B390" s="42">
        <v>44831</v>
      </c>
      <c r="C390">
        <v>1.9</v>
      </c>
      <c r="O390" s="43">
        <v>2679.25</v>
      </c>
    </row>
    <row r="391" spans="2:15">
      <c r="B391" s="42">
        <v>44832</v>
      </c>
      <c r="C391">
        <v>1.53</v>
      </c>
      <c r="O391" s="43">
        <v>2702.1</v>
      </c>
    </row>
    <row r="392" spans="2:15">
      <c r="B392" s="42">
        <v>44833</v>
      </c>
      <c r="C392">
        <v>2.02</v>
      </c>
      <c r="O392" s="43">
        <v>2700.55</v>
      </c>
    </row>
    <row r="393" spans="2:15">
      <c r="B393" s="42">
        <v>44834</v>
      </c>
      <c r="C393">
        <v>1.34</v>
      </c>
      <c r="O393" s="43">
        <v>2696.45</v>
      </c>
    </row>
    <row r="394" spans="2:15">
      <c r="B394" s="42">
        <v>44837</v>
      </c>
      <c r="C394">
        <v>1.68</v>
      </c>
      <c r="O394" s="43">
        <v>2622.5</v>
      </c>
    </row>
    <row r="395" spans="2:15">
      <c r="B395" s="42">
        <v>44838</v>
      </c>
      <c r="C395">
        <v>1.33</v>
      </c>
      <c r="O395" s="43">
        <v>2667.95</v>
      </c>
    </row>
    <row r="396" spans="2:15">
      <c r="B396" s="42">
        <v>44840</v>
      </c>
      <c r="C396">
        <v>1.75</v>
      </c>
      <c r="O396" s="43">
        <v>2614</v>
      </c>
    </row>
    <row r="397" spans="2:15">
      <c r="B397" s="42">
        <v>44841</v>
      </c>
      <c r="C397">
        <v>1.03</v>
      </c>
      <c r="O397" s="43">
        <v>2599.6999999999998</v>
      </c>
    </row>
    <row r="398" spans="2:15">
      <c r="B398" s="42">
        <v>44844</v>
      </c>
      <c r="C398">
        <v>1.04</v>
      </c>
      <c r="O398" s="43">
        <v>2605.6</v>
      </c>
    </row>
    <row r="399" spans="2:15">
      <c r="B399" s="42">
        <v>44845</v>
      </c>
      <c r="C399">
        <v>1.1299999999999999</v>
      </c>
      <c r="O399" s="43">
        <v>2550.65</v>
      </c>
    </row>
    <row r="400" spans="2:15">
      <c r="B400" s="42">
        <v>44846</v>
      </c>
      <c r="C400">
        <v>0.88287000000000004</v>
      </c>
      <c r="O400" s="43">
        <v>2591.35</v>
      </c>
    </row>
    <row r="401" spans="2:15">
      <c r="B401" s="42">
        <v>44847</v>
      </c>
      <c r="C401">
        <v>0.75333000000000006</v>
      </c>
      <c r="O401" s="43">
        <v>2566.4</v>
      </c>
    </row>
    <row r="402" spans="2:15">
      <c r="B402" s="42">
        <v>44848</v>
      </c>
      <c r="C402">
        <v>1</v>
      </c>
      <c r="O402" s="43">
        <v>2565.58</v>
      </c>
    </row>
    <row r="403" spans="2:15">
      <c r="B403" s="42">
        <v>44851</v>
      </c>
      <c r="C403">
        <v>0.77891999999999995</v>
      </c>
      <c r="O403" s="43">
        <v>2580.2800000000002</v>
      </c>
    </row>
    <row r="404" spans="2:15">
      <c r="B404" s="42">
        <v>44852</v>
      </c>
      <c r="C404">
        <v>1.1200000000000001</v>
      </c>
      <c r="O404" s="43">
        <v>2591.9299999999998</v>
      </c>
    </row>
    <row r="405" spans="2:15">
      <c r="B405" s="42">
        <v>44853</v>
      </c>
      <c r="C405">
        <v>1.24</v>
      </c>
      <c r="O405" s="43">
        <v>2572.7600000000002</v>
      </c>
    </row>
    <row r="406" spans="2:15">
      <c r="B406" s="42">
        <v>44854</v>
      </c>
      <c r="C406">
        <v>1.43</v>
      </c>
      <c r="O406" s="43">
        <v>2590.58</v>
      </c>
    </row>
    <row r="407" spans="2:15">
      <c r="B407" s="42">
        <v>44855</v>
      </c>
      <c r="C407">
        <v>2.46</v>
      </c>
      <c r="O407" s="43">
        <v>2643.38</v>
      </c>
    </row>
    <row r="408" spans="2:15">
      <c r="B408" s="42">
        <v>44858</v>
      </c>
      <c r="C408">
        <v>0.71991000000000005</v>
      </c>
      <c r="O408" s="43">
        <v>2562.9</v>
      </c>
    </row>
    <row r="409" spans="2:15">
      <c r="B409" s="42">
        <v>44859</v>
      </c>
      <c r="C409">
        <v>2.92</v>
      </c>
      <c r="O409" s="43">
        <v>2495.46</v>
      </c>
    </row>
    <row r="410" spans="2:15">
      <c r="B410" s="42">
        <v>44861</v>
      </c>
      <c r="C410">
        <v>1.85</v>
      </c>
      <c r="O410" s="43">
        <v>2509.0100000000002</v>
      </c>
    </row>
    <row r="411" spans="2:15">
      <c r="B411" s="42">
        <v>44862</v>
      </c>
      <c r="C411">
        <v>1.1599999999999999</v>
      </c>
      <c r="O411" s="43">
        <v>2514.2399999999998</v>
      </c>
    </row>
    <row r="412" spans="2:15">
      <c r="B412" s="42">
        <v>44865</v>
      </c>
      <c r="C412">
        <v>1.32</v>
      </c>
      <c r="O412" s="43">
        <v>2540.58</v>
      </c>
    </row>
    <row r="413" spans="2:15">
      <c r="B413" s="42">
        <v>44866</v>
      </c>
      <c r="C413">
        <v>1.28</v>
      </c>
      <c r="O413" s="43">
        <v>2541.6799999999998</v>
      </c>
    </row>
    <row r="414" spans="2:15">
      <c r="B414" s="42">
        <v>44867</v>
      </c>
      <c r="C414">
        <v>1.34</v>
      </c>
      <c r="O414" s="43">
        <v>2508.31</v>
      </c>
    </row>
    <row r="415" spans="2:15">
      <c r="B415" s="42">
        <v>44868</v>
      </c>
      <c r="C415">
        <v>0.73043999999999998</v>
      </c>
      <c r="O415" s="43">
        <v>2536.25</v>
      </c>
    </row>
    <row r="416" spans="2:15">
      <c r="B416" s="42">
        <v>44869</v>
      </c>
      <c r="C416">
        <v>0.88905999999999996</v>
      </c>
      <c r="O416" s="43">
        <v>2510.35</v>
      </c>
    </row>
    <row r="417" spans="2:15">
      <c r="B417" s="42">
        <v>44872</v>
      </c>
      <c r="C417">
        <v>1.28</v>
      </c>
      <c r="O417" s="43">
        <v>2522.75</v>
      </c>
    </row>
    <row r="418" spans="2:15">
      <c r="B418" s="42">
        <v>44874</v>
      </c>
      <c r="C418">
        <v>1.44</v>
      </c>
      <c r="O418" s="43">
        <v>2498.85</v>
      </c>
    </row>
    <row r="419" spans="2:15">
      <c r="B419" s="42">
        <v>44875</v>
      </c>
      <c r="C419">
        <v>1.46</v>
      </c>
      <c r="O419" s="43">
        <v>2503.63</v>
      </c>
    </row>
    <row r="420" spans="2:15">
      <c r="B420" s="42">
        <v>44876</v>
      </c>
      <c r="C420">
        <v>1.1599999999999999</v>
      </c>
      <c r="O420" s="43">
        <v>2493.12</v>
      </c>
    </row>
    <row r="421" spans="2:15">
      <c r="B421" s="42">
        <v>44879</v>
      </c>
      <c r="C421">
        <v>2.14</v>
      </c>
      <c r="O421" s="43">
        <v>2448.0500000000002</v>
      </c>
    </row>
    <row r="422" spans="2:15">
      <c r="B422" s="42">
        <v>44880</v>
      </c>
      <c r="C422">
        <v>1.56</v>
      </c>
      <c r="O422" s="43">
        <v>2447.75</v>
      </c>
    </row>
    <row r="423" spans="2:15">
      <c r="B423" s="42">
        <v>44881</v>
      </c>
      <c r="C423">
        <v>1.33</v>
      </c>
      <c r="O423" s="43">
        <v>2468.02</v>
      </c>
    </row>
    <row r="424" spans="2:15">
      <c r="B424" s="42">
        <v>44882</v>
      </c>
      <c r="C424">
        <v>0.96048</v>
      </c>
      <c r="O424" s="43">
        <v>2450.2399999999998</v>
      </c>
    </row>
    <row r="425" spans="2:15">
      <c r="B425" s="42">
        <v>44883</v>
      </c>
      <c r="C425">
        <v>1.08</v>
      </c>
      <c r="O425" s="43">
        <v>2473.85</v>
      </c>
    </row>
    <row r="426" spans="2:15">
      <c r="B426" s="42">
        <v>44886</v>
      </c>
      <c r="C426">
        <v>1.35</v>
      </c>
      <c r="O426" s="43">
        <v>2491.48</v>
      </c>
    </row>
    <row r="427" spans="2:15">
      <c r="B427" s="42">
        <v>44887</v>
      </c>
      <c r="C427">
        <v>0.92127000000000003</v>
      </c>
      <c r="O427" s="43">
        <v>2505.7199999999998</v>
      </c>
    </row>
    <row r="428" spans="2:15">
      <c r="B428" s="42">
        <v>44888</v>
      </c>
      <c r="C428">
        <v>0.73414999999999997</v>
      </c>
      <c r="O428" s="43">
        <v>2497.41</v>
      </c>
    </row>
    <row r="429" spans="2:15">
      <c r="B429" s="42">
        <v>44889</v>
      </c>
      <c r="C429">
        <v>0.99992999999999999</v>
      </c>
      <c r="O429" s="43">
        <v>2539.04</v>
      </c>
    </row>
    <row r="430" spans="2:15">
      <c r="B430" s="42">
        <v>44890</v>
      </c>
      <c r="C430">
        <v>0.78347999999999995</v>
      </c>
      <c r="O430" s="43">
        <v>2527.39</v>
      </c>
    </row>
    <row r="431" spans="2:15">
      <c r="B431" s="42">
        <v>44893</v>
      </c>
      <c r="C431">
        <v>0.83091000000000004</v>
      </c>
      <c r="O431" s="43">
        <v>2515.19</v>
      </c>
    </row>
    <row r="432" spans="2:15">
      <c r="B432" s="42">
        <v>44894</v>
      </c>
      <c r="C432">
        <v>2.54</v>
      </c>
      <c r="O432" s="43">
        <v>2623.75</v>
      </c>
    </row>
    <row r="433" spans="2:15">
      <c r="B433" s="42">
        <v>44895</v>
      </c>
      <c r="C433">
        <v>3.7</v>
      </c>
      <c r="O433" s="43">
        <v>2673.7</v>
      </c>
    </row>
    <row r="434" spans="2:15">
      <c r="B434" s="42">
        <v>44896</v>
      </c>
      <c r="C434">
        <v>1.68</v>
      </c>
      <c r="O434" s="43">
        <v>2652.29</v>
      </c>
    </row>
    <row r="435" spans="2:15">
      <c r="B435" s="42">
        <v>44897</v>
      </c>
      <c r="C435">
        <v>2.1</v>
      </c>
      <c r="O435" s="43">
        <v>2604.73</v>
      </c>
    </row>
    <row r="436" spans="2:15">
      <c r="B436" s="42">
        <v>44900</v>
      </c>
      <c r="C436">
        <v>1.64</v>
      </c>
      <c r="O436" s="43">
        <v>2609.46</v>
      </c>
    </row>
    <row r="437" spans="2:15">
      <c r="B437" s="42">
        <v>44901</v>
      </c>
      <c r="C437">
        <v>1.48</v>
      </c>
      <c r="O437" s="43">
        <v>2644.02</v>
      </c>
    </row>
    <row r="438" spans="2:15">
      <c r="B438" s="42">
        <v>44902</v>
      </c>
      <c r="C438">
        <v>2.37</v>
      </c>
      <c r="O438" s="43">
        <v>2696.61</v>
      </c>
    </row>
    <row r="439" spans="2:15">
      <c r="B439" s="42">
        <v>44903</v>
      </c>
      <c r="C439">
        <v>1.31</v>
      </c>
      <c r="O439" s="43">
        <v>2694.72</v>
      </c>
    </row>
    <row r="440" spans="2:15">
      <c r="B440" s="42">
        <v>44904</v>
      </c>
      <c r="C440">
        <v>1.88</v>
      </c>
      <c r="O440" s="43">
        <v>2711.45</v>
      </c>
    </row>
    <row r="441" spans="2:15">
      <c r="B441" s="42">
        <v>44907</v>
      </c>
      <c r="C441">
        <v>1.1599999999999999</v>
      </c>
      <c r="O441" s="43">
        <v>2706.47</v>
      </c>
    </row>
    <row r="442" spans="2:15">
      <c r="B442" s="42">
        <v>44908</v>
      </c>
      <c r="C442">
        <v>1.27</v>
      </c>
      <c r="O442" s="43">
        <v>2699.55</v>
      </c>
    </row>
    <row r="443" spans="2:15">
      <c r="B443" s="42">
        <v>44909</v>
      </c>
      <c r="C443">
        <v>0.88685999999999998</v>
      </c>
      <c r="O443" s="43">
        <v>2674</v>
      </c>
    </row>
    <row r="444" spans="2:15">
      <c r="B444" s="42">
        <v>44910</v>
      </c>
      <c r="C444">
        <v>0.99072000000000005</v>
      </c>
      <c r="O444" s="43">
        <v>2652.69</v>
      </c>
    </row>
    <row r="445" spans="2:15">
      <c r="B445" s="42">
        <v>44911</v>
      </c>
      <c r="C445">
        <v>1.79</v>
      </c>
      <c r="O445" s="43">
        <v>2660.71</v>
      </c>
    </row>
    <row r="446" spans="2:15">
      <c r="B446" s="42">
        <v>44914</v>
      </c>
      <c r="C446">
        <v>1.55</v>
      </c>
      <c r="O446" s="43">
        <v>2707.32</v>
      </c>
    </row>
    <row r="447" spans="2:15">
      <c r="B447" s="42">
        <v>44915</v>
      </c>
      <c r="C447">
        <v>0.82757000000000003</v>
      </c>
      <c r="O447" s="43">
        <v>2663.94</v>
      </c>
    </row>
    <row r="448" spans="2:15">
      <c r="B448" s="42">
        <v>44916</v>
      </c>
      <c r="C448">
        <v>0.77908999999999995</v>
      </c>
      <c r="O448" s="43">
        <v>2655.63</v>
      </c>
    </row>
    <row r="449" spans="2:15">
      <c r="B449" s="42">
        <v>44917</v>
      </c>
      <c r="C449">
        <v>0.85257000000000005</v>
      </c>
      <c r="O449" s="43">
        <v>2634.86</v>
      </c>
    </row>
    <row r="450" spans="2:15">
      <c r="B450" s="42">
        <v>44918</v>
      </c>
      <c r="C450">
        <v>1.19</v>
      </c>
      <c r="O450" s="43">
        <v>2610.71</v>
      </c>
    </row>
    <row r="451" spans="2:15">
      <c r="B451" s="42">
        <v>44921</v>
      </c>
      <c r="C451">
        <v>0.60514000000000001</v>
      </c>
      <c r="O451" s="43">
        <v>2607.0700000000002</v>
      </c>
    </row>
    <row r="452" spans="2:15">
      <c r="B452" s="42">
        <v>44922</v>
      </c>
      <c r="C452">
        <v>0.87095999999999996</v>
      </c>
      <c r="O452" s="43">
        <v>2582.9699999999998</v>
      </c>
    </row>
    <row r="453" spans="2:15">
      <c r="B453" s="42">
        <v>44923</v>
      </c>
      <c r="C453">
        <v>0.82264999999999999</v>
      </c>
      <c r="O453" s="43">
        <v>2573.35</v>
      </c>
    </row>
    <row r="454" spans="2:15">
      <c r="B454" s="42">
        <v>44924</v>
      </c>
      <c r="C454">
        <v>1.35</v>
      </c>
      <c r="O454" s="43">
        <v>2557.86</v>
      </c>
    </row>
    <row r="455" spans="2:15">
      <c r="B455" s="42">
        <v>44925</v>
      </c>
      <c r="C455">
        <v>0.69642999999999999</v>
      </c>
      <c r="O455" s="43">
        <v>2550.89</v>
      </c>
    </row>
    <row r="456" spans="2:15">
      <c r="B456" s="42">
        <v>44928</v>
      </c>
      <c r="C456">
        <v>0.68169999999999997</v>
      </c>
      <c r="O456" s="43">
        <v>2548.25</v>
      </c>
    </row>
    <row r="457" spans="2:15">
      <c r="B457" s="42">
        <v>44929</v>
      </c>
      <c r="C457">
        <v>0.82184000000000001</v>
      </c>
      <c r="O457" s="43">
        <v>2531.9699999999998</v>
      </c>
    </row>
    <row r="458" spans="2:15">
      <c r="B458" s="42">
        <v>44930</v>
      </c>
      <c r="C458">
        <v>1.67</v>
      </c>
      <c r="O458" s="43">
        <v>2526.04</v>
      </c>
    </row>
    <row r="459" spans="2:15">
      <c r="B459" s="42">
        <v>44931</v>
      </c>
      <c r="C459">
        <v>2.0099999999999998</v>
      </c>
      <c r="O459" s="43">
        <v>2573.4499999999998</v>
      </c>
    </row>
    <row r="460" spans="2:15">
      <c r="B460" s="42">
        <v>44932</v>
      </c>
      <c r="C460">
        <v>0.99177999999999999</v>
      </c>
      <c r="O460" s="43">
        <v>2566.23</v>
      </c>
    </row>
    <row r="461" spans="2:15">
      <c r="B461" s="42">
        <v>44935</v>
      </c>
      <c r="C461">
        <v>1.27</v>
      </c>
      <c r="O461" s="43">
        <v>2613.64</v>
      </c>
    </row>
    <row r="462" spans="2:15">
      <c r="B462" s="42">
        <v>44936</v>
      </c>
      <c r="C462">
        <v>1.41</v>
      </c>
      <c r="O462" s="43">
        <v>2633.36</v>
      </c>
    </row>
    <row r="463" spans="2:15">
      <c r="B463" s="42">
        <v>44937</v>
      </c>
      <c r="C463">
        <v>1.47</v>
      </c>
      <c r="O463" s="43">
        <v>2582.9699999999998</v>
      </c>
    </row>
    <row r="464" spans="2:15">
      <c r="B464" s="42">
        <v>44938</v>
      </c>
      <c r="C464">
        <v>1.7</v>
      </c>
      <c r="O464" s="43">
        <v>2579.7800000000002</v>
      </c>
    </row>
    <row r="465" spans="2:15">
      <c r="B465" s="42">
        <v>44939</v>
      </c>
      <c r="C465">
        <v>1.35</v>
      </c>
      <c r="O465" s="43">
        <v>2613.59</v>
      </c>
    </row>
    <row r="466" spans="2:15">
      <c r="B466" s="42">
        <v>44942</v>
      </c>
      <c r="C466">
        <v>0.93006999999999995</v>
      </c>
      <c r="O466" s="43">
        <v>2586.8000000000002</v>
      </c>
    </row>
    <row r="467" spans="2:15">
      <c r="B467" s="42">
        <v>44943</v>
      </c>
      <c r="C467">
        <v>1.89</v>
      </c>
      <c r="O467" s="43">
        <v>2656.97</v>
      </c>
    </row>
    <row r="468" spans="2:15">
      <c r="B468" s="42">
        <v>44944</v>
      </c>
      <c r="C468">
        <v>2.04</v>
      </c>
      <c r="O468" s="43">
        <v>2675.55</v>
      </c>
    </row>
    <row r="469" spans="2:15">
      <c r="B469" s="42">
        <v>44945</v>
      </c>
      <c r="C469">
        <v>1.65</v>
      </c>
      <c r="O469" s="43">
        <v>2639.24</v>
      </c>
    </row>
    <row r="470" spans="2:15">
      <c r="B470" s="42">
        <v>44946</v>
      </c>
      <c r="C470">
        <v>4.57</v>
      </c>
      <c r="O470" s="43">
        <v>2538.64</v>
      </c>
    </row>
    <row r="471" spans="2:15">
      <c r="B471" s="42">
        <v>44949</v>
      </c>
      <c r="C471">
        <v>1.39</v>
      </c>
      <c r="O471" s="43">
        <v>2586.1</v>
      </c>
    </row>
    <row r="472" spans="2:15">
      <c r="B472" s="42">
        <v>44950</v>
      </c>
      <c r="C472">
        <v>1.46</v>
      </c>
      <c r="O472" s="43">
        <v>2590.19</v>
      </c>
    </row>
    <row r="473" spans="2:15">
      <c r="B473" s="42">
        <v>44951</v>
      </c>
      <c r="C473">
        <v>1.59</v>
      </c>
      <c r="O473" s="43">
        <v>2611.9499999999998</v>
      </c>
    </row>
    <row r="474" spans="2:15">
      <c r="B474" s="42">
        <v>44953</v>
      </c>
      <c r="C474">
        <v>1.58</v>
      </c>
      <c r="O474" s="43">
        <v>2601.79</v>
      </c>
    </row>
    <row r="475" spans="2:15">
      <c r="B475" s="42">
        <v>44956</v>
      </c>
      <c r="C475">
        <v>2.74</v>
      </c>
      <c r="O475" s="43">
        <v>2557.9699999999998</v>
      </c>
    </row>
    <row r="476" spans="2:15">
      <c r="B476" s="42">
        <v>44957</v>
      </c>
      <c r="C476">
        <v>2.37</v>
      </c>
      <c r="O476" s="43">
        <v>2566.5300000000002</v>
      </c>
    </row>
    <row r="477" spans="2:15">
      <c r="B477" s="42">
        <v>44958</v>
      </c>
      <c r="C477">
        <v>2.0099999999999998</v>
      </c>
      <c r="O477" s="43">
        <v>2564.04</v>
      </c>
    </row>
    <row r="478" spans="2:15">
      <c r="B478" s="42">
        <v>44959</v>
      </c>
      <c r="C478">
        <v>1.98</v>
      </c>
      <c r="O478" s="43">
        <v>2624.4</v>
      </c>
    </row>
    <row r="479" spans="2:15">
      <c r="B479" s="42">
        <v>44960</v>
      </c>
      <c r="C479">
        <v>1.64</v>
      </c>
      <c r="O479" s="43">
        <v>2638.25</v>
      </c>
    </row>
    <row r="480" spans="2:15">
      <c r="B480" s="42">
        <v>44963</v>
      </c>
      <c r="C480">
        <v>1.7</v>
      </c>
      <c r="O480" s="43">
        <v>2627.14</v>
      </c>
    </row>
    <row r="481" spans="2:15">
      <c r="B481" s="42">
        <v>44964</v>
      </c>
      <c r="C481">
        <v>1.5</v>
      </c>
      <c r="O481" s="43">
        <v>2590.88</v>
      </c>
    </row>
    <row r="482" spans="2:15">
      <c r="B482" s="42">
        <v>44965</v>
      </c>
      <c r="C482">
        <v>1.06</v>
      </c>
      <c r="O482" s="43">
        <v>2572.56</v>
      </c>
    </row>
    <row r="483" spans="2:15">
      <c r="B483" s="42">
        <v>44966</v>
      </c>
      <c r="C483">
        <v>1.1000000000000001</v>
      </c>
      <c r="O483" s="43">
        <v>2576.44</v>
      </c>
    </row>
    <row r="484" spans="2:15">
      <c r="B484" s="42">
        <v>44967</v>
      </c>
      <c r="C484">
        <v>1.52</v>
      </c>
      <c r="O484" s="43">
        <v>2567.2800000000002</v>
      </c>
    </row>
    <row r="485" spans="2:15">
      <c r="B485" s="42">
        <v>44970</v>
      </c>
      <c r="C485">
        <v>1.1499999999999999</v>
      </c>
      <c r="O485" s="43">
        <v>2570.7600000000002</v>
      </c>
    </row>
    <row r="486" spans="2:15">
      <c r="B486" s="42">
        <v>44971</v>
      </c>
      <c r="C486">
        <v>1.94</v>
      </c>
      <c r="O486" s="43">
        <v>2569.37</v>
      </c>
    </row>
    <row r="487" spans="2:15">
      <c r="B487" s="42">
        <v>44972</v>
      </c>
      <c r="C487">
        <v>2.0099999999999998</v>
      </c>
      <c r="O487" s="43">
        <v>2538.34</v>
      </c>
    </row>
    <row r="488" spans="2:15">
      <c r="B488" s="42">
        <v>44973</v>
      </c>
      <c r="C488">
        <v>1.98</v>
      </c>
      <c r="O488" s="43">
        <v>2517.08</v>
      </c>
    </row>
    <row r="489" spans="2:15">
      <c r="B489" s="42">
        <v>44974</v>
      </c>
      <c r="C489">
        <v>1.4</v>
      </c>
      <c r="O489" s="43">
        <v>2505.52</v>
      </c>
    </row>
    <row r="490" spans="2:15">
      <c r="B490" s="42">
        <v>44977</v>
      </c>
      <c r="C490">
        <v>0.63209000000000004</v>
      </c>
      <c r="O490" s="43">
        <v>2501.4899999999998</v>
      </c>
    </row>
    <row r="491" spans="2:15">
      <c r="B491" s="42">
        <v>44978</v>
      </c>
      <c r="C491">
        <v>0.86280000000000001</v>
      </c>
      <c r="O491" s="43">
        <v>2506.17</v>
      </c>
    </row>
    <row r="492" spans="2:15">
      <c r="B492" s="42">
        <v>44979</v>
      </c>
      <c r="C492">
        <v>0.88551999999999997</v>
      </c>
      <c r="O492" s="43">
        <v>2484.16</v>
      </c>
    </row>
    <row r="493" spans="2:15">
      <c r="B493" s="42">
        <v>44980</v>
      </c>
      <c r="C493">
        <v>0.75722</v>
      </c>
      <c r="O493" s="43">
        <v>2480.77</v>
      </c>
    </row>
    <row r="494" spans="2:15">
      <c r="B494" s="42">
        <v>44981</v>
      </c>
      <c r="C494">
        <v>0.73277999999999999</v>
      </c>
      <c r="O494" s="43">
        <v>2474.35</v>
      </c>
    </row>
    <row r="495" spans="2:15">
      <c r="B495" s="42">
        <v>44984</v>
      </c>
      <c r="C495">
        <v>0.85399000000000003</v>
      </c>
      <c r="O495" s="43">
        <v>2458.36</v>
      </c>
    </row>
    <row r="496" spans="2:15">
      <c r="B496" s="42">
        <v>44985</v>
      </c>
      <c r="C496">
        <v>1.78</v>
      </c>
      <c r="O496" s="43">
        <v>2450.89</v>
      </c>
    </row>
    <row r="497" spans="2:15">
      <c r="B497" s="42">
        <v>44986</v>
      </c>
      <c r="C497">
        <v>0.96733999999999998</v>
      </c>
      <c r="O497" s="43">
        <v>2456.4699999999998</v>
      </c>
    </row>
    <row r="498" spans="2:15">
      <c r="B498" s="42">
        <v>44987</v>
      </c>
      <c r="C498">
        <v>0.82716999999999996</v>
      </c>
      <c r="O498" s="43">
        <v>2445.61</v>
      </c>
    </row>
    <row r="499" spans="2:15">
      <c r="B499" s="42">
        <v>44988</v>
      </c>
      <c r="C499">
        <v>1.18</v>
      </c>
      <c r="O499" s="43">
        <v>2461.1999999999998</v>
      </c>
    </row>
    <row r="500" spans="2:15">
      <c r="B500" s="42">
        <v>44991</v>
      </c>
      <c r="C500">
        <v>1.21</v>
      </c>
      <c r="O500" s="43">
        <v>2475</v>
      </c>
    </row>
    <row r="501" spans="2:15">
      <c r="B501" s="42">
        <v>44993</v>
      </c>
      <c r="C501">
        <v>1.45</v>
      </c>
      <c r="O501" s="43">
        <v>2475.2399999999998</v>
      </c>
    </row>
    <row r="502" spans="2:15">
      <c r="B502" s="42">
        <v>44994</v>
      </c>
      <c r="C502">
        <v>1.04</v>
      </c>
      <c r="O502" s="43">
        <v>2451.64</v>
      </c>
    </row>
    <row r="503" spans="2:15">
      <c r="B503" s="42">
        <v>44995</v>
      </c>
      <c r="C503">
        <v>0.77202000000000004</v>
      </c>
      <c r="O503" s="43">
        <v>2455.67</v>
      </c>
    </row>
    <row r="504" spans="2:15">
      <c r="B504" s="42">
        <v>44998</v>
      </c>
      <c r="C504">
        <v>1.31</v>
      </c>
      <c r="O504" s="43">
        <v>2445.36</v>
      </c>
    </row>
    <row r="505" spans="2:15">
      <c r="B505" s="42">
        <v>44999</v>
      </c>
      <c r="C505">
        <v>1.25</v>
      </c>
      <c r="O505" s="43">
        <v>2432.7600000000002</v>
      </c>
    </row>
    <row r="506" spans="2:15">
      <c r="B506" s="42">
        <v>45000</v>
      </c>
      <c r="C506">
        <v>1.74</v>
      </c>
      <c r="O506" s="43">
        <v>2396.56</v>
      </c>
    </row>
    <row r="507" spans="2:15">
      <c r="B507" s="42">
        <v>45001</v>
      </c>
      <c r="C507">
        <v>1.63</v>
      </c>
      <c r="O507" s="43">
        <v>2449.6</v>
      </c>
    </row>
    <row r="508" spans="2:15">
      <c r="B508" s="42">
        <v>45002</v>
      </c>
      <c r="C508">
        <v>2.13</v>
      </c>
      <c r="O508" s="43">
        <v>2437.69</v>
      </c>
    </row>
    <row r="509" spans="2:15">
      <c r="B509" s="42">
        <v>45005</v>
      </c>
      <c r="C509">
        <v>1.56</v>
      </c>
      <c r="O509" s="43">
        <v>2501.2399999999998</v>
      </c>
    </row>
    <row r="510" spans="2:15">
      <c r="B510" s="42">
        <v>45006</v>
      </c>
      <c r="C510">
        <v>1.6</v>
      </c>
      <c r="O510" s="43">
        <v>2452.83</v>
      </c>
    </row>
    <row r="511" spans="2:15">
      <c r="B511" s="42">
        <v>45007</v>
      </c>
      <c r="C511">
        <v>1.06</v>
      </c>
      <c r="O511" s="43">
        <v>2466.5300000000002</v>
      </c>
    </row>
    <row r="512" spans="2:15">
      <c r="B512" s="42">
        <v>45008</v>
      </c>
      <c r="C512">
        <v>1.58</v>
      </c>
      <c r="O512" s="43">
        <v>2475.2399999999998</v>
      </c>
    </row>
    <row r="513" spans="2:15">
      <c r="B513" s="42">
        <v>45009</v>
      </c>
      <c r="C513">
        <v>1.45</v>
      </c>
      <c r="O513" s="43">
        <v>2470.96</v>
      </c>
    </row>
    <row r="514" spans="2:15">
      <c r="B514" s="42">
        <v>45012</v>
      </c>
      <c r="C514">
        <v>1.39</v>
      </c>
      <c r="O514" s="43">
        <v>2489.09</v>
      </c>
    </row>
    <row r="515" spans="2:15">
      <c r="B515" s="42">
        <v>45013</v>
      </c>
      <c r="C515">
        <v>1.41</v>
      </c>
      <c r="O515" s="43">
        <v>2472.9499999999998</v>
      </c>
    </row>
    <row r="516" spans="2:15">
      <c r="B516" s="42">
        <v>45014</v>
      </c>
      <c r="C516">
        <v>2.61</v>
      </c>
      <c r="O516" s="43">
        <v>2520.81</v>
      </c>
    </row>
    <row r="517" spans="2:15">
      <c r="B517" s="42">
        <v>45016</v>
      </c>
      <c r="C517">
        <v>2.15</v>
      </c>
      <c r="O517" s="43">
        <v>2550.1999999999998</v>
      </c>
    </row>
    <row r="518" spans="2:15">
      <c r="B518" s="42">
        <v>45019</v>
      </c>
      <c r="C518">
        <v>0.91805000000000003</v>
      </c>
      <c r="O518" s="43">
        <v>2526.04</v>
      </c>
    </row>
    <row r="519" spans="2:15">
      <c r="B519" s="42">
        <v>45021</v>
      </c>
      <c r="C519">
        <v>1.49</v>
      </c>
      <c r="O519" s="43">
        <v>2572.5100000000002</v>
      </c>
    </row>
    <row r="520" spans="2:15">
      <c r="B520" s="42">
        <v>45022</v>
      </c>
      <c r="C520">
        <v>0.79740999999999995</v>
      </c>
      <c r="O520" s="43">
        <v>2555.08</v>
      </c>
    </row>
    <row r="521" spans="2:15">
      <c r="B521" s="42">
        <v>45026</v>
      </c>
      <c r="C521">
        <v>0.85331999999999997</v>
      </c>
      <c r="O521" s="43">
        <v>2522.11</v>
      </c>
    </row>
    <row r="522" spans="2:15">
      <c r="B522" s="42">
        <v>45027</v>
      </c>
      <c r="C522">
        <v>0.91317999999999999</v>
      </c>
      <c r="O522" s="43">
        <v>2537.65</v>
      </c>
    </row>
    <row r="523" spans="2:15">
      <c r="B523" s="42">
        <v>45028</v>
      </c>
      <c r="C523">
        <v>1.1100000000000001</v>
      </c>
      <c r="O523" s="43">
        <v>2518.92</v>
      </c>
    </row>
    <row r="524" spans="2:15">
      <c r="B524" s="42">
        <v>45029</v>
      </c>
      <c r="C524">
        <v>1.26</v>
      </c>
      <c r="O524" s="43">
        <v>2526.14</v>
      </c>
    </row>
    <row r="525" spans="2:15">
      <c r="B525" s="42">
        <v>45033</v>
      </c>
      <c r="C525">
        <v>1.57</v>
      </c>
      <c r="O525" s="43">
        <v>2541.73</v>
      </c>
    </row>
    <row r="526" spans="2:15">
      <c r="B526" s="42">
        <v>45034</v>
      </c>
      <c r="C526">
        <v>1.47</v>
      </c>
      <c r="O526" s="43">
        <v>2530.9699999999998</v>
      </c>
    </row>
    <row r="527" spans="2:15">
      <c r="B527" s="42">
        <v>45035</v>
      </c>
      <c r="C527">
        <v>1.32</v>
      </c>
      <c r="O527" s="43">
        <v>2521.56</v>
      </c>
    </row>
    <row r="528" spans="2:15">
      <c r="B528" s="42">
        <v>45036</v>
      </c>
      <c r="C528">
        <v>1.4</v>
      </c>
      <c r="O528" s="43">
        <v>2482.71</v>
      </c>
    </row>
    <row r="529" spans="2:15">
      <c r="B529" s="42">
        <v>45037</v>
      </c>
      <c r="C529">
        <v>1.21</v>
      </c>
      <c r="O529" s="43">
        <v>2488.04</v>
      </c>
    </row>
    <row r="530" spans="2:15">
      <c r="B530" s="42">
        <v>45040</v>
      </c>
      <c r="C530">
        <v>1.74</v>
      </c>
      <c r="O530" s="43">
        <v>2489.84</v>
      </c>
    </row>
    <row r="531" spans="2:15">
      <c r="B531" s="42">
        <v>45041</v>
      </c>
      <c r="C531">
        <v>1.7</v>
      </c>
      <c r="O531" s="43">
        <v>2480.5700000000002</v>
      </c>
    </row>
    <row r="532" spans="2:15">
      <c r="B532" s="42">
        <v>45042</v>
      </c>
      <c r="C532">
        <v>1.25</v>
      </c>
      <c r="O532" s="43">
        <v>2500.84</v>
      </c>
    </row>
    <row r="533" spans="2:15">
      <c r="B533" s="42">
        <v>45043</v>
      </c>
      <c r="C533">
        <v>2.74</v>
      </c>
      <c r="O533" s="43">
        <v>2459.16</v>
      </c>
    </row>
    <row r="534" spans="2:15">
      <c r="B534" s="42">
        <v>45044</v>
      </c>
      <c r="C534">
        <v>3.76</v>
      </c>
      <c r="O534" s="43">
        <v>2447.5500000000002</v>
      </c>
    </row>
    <row r="535" spans="2:15">
      <c r="B535" s="42">
        <v>45048</v>
      </c>
      <c r="C535">
        <v>1.76</v>
      </c>
      <c r="O535" s="43">
        <v>2441.98</v>
      </c>
    </row>
    <row r="536" spans="2:15">
      <c r="B536" s="42">
        <v>45049</v>
      </c>
      <c r="C536">
        <v>1.26</v>
      </c>
      <c r="O536" s="43">
        <v>2476.14</v>
      </c>
    </row>
    <row r="537" spans="2:15">
      <c r="B537" s="42">
        <v>45050</v>
      </c>
      <c r="C537">
        <v>1.1499999999999999</v>
      </c>
      <c r="O537" s="43">
        <v>2496.81</v>
      </c>
    </row>
    <row r="538" spans="2:15">
      <c r="B538" s="42">
        <v>45051</v>
      </c>
      <c r="C538">
        <v>1.35</v>
      </c>
      <c r="O538" s="43">
        <v>2490.83</v>
      </c>
    </row>
    <row r="539" spans="2:15">
      <c r="B539" s="42">
        <v>45054</v>
      </c>
      <c r="C539">
        <v>0.97280999999999995</v>
      </c>
      <c r="O539" s="43">
        <v>2506.3200000000002</v>
      </c>
    </row>
    <row r="540" spans="2:15">
      <c r="B540" s="42">
        <v>45055</v>
      </c>
      <c r="C540">
        <v>1.65</v>
      </c>
      <c r="O540" s="43">
        <v>2505.8200000000002</v>
      </c>
    </row>
    <row r="541" spans="2:15">
      <c r="B541" s="42">
        <v>45056</v>
      </c>
      <c r="C541">
        <v>2.0299999999999998</v>
      </c>
      <c r="O541" s="43">
        <v>2512.6999999999998</v>
      </c>
    </row>
    <row r="542" spans="2:15">
      <c r="B542" s="42">
        <v>45057</v>
      </c>
      <c r="C542">
        <v>1.75</v>
      </c>
      <c r="O542" s="43">
        <v>2582.12</v>
      </c>
    </row>
    <row r="543" spans="2:15">
      <c r="B543" s="42">
        <v>45058</v>
      </c>
      <c r="C543">
        <v>2.17</v>
      </c>
      <c r="O543" s="43">
        <v>2613</v>
      </c>
    </row>
    <row r="544" spans="2:15">
      <c r="B544" s="42">
        <v>45061</v>
      </c>
      <c r="C544">
        <v>1.56</v>
      </c>
      <c r="O544" s="43">
        <v>2651.69</v>
      </c>
    </row>
    <row r="545" spans="2:15">
      <c r="B545" s="42">
        <v>45062</v>
      </c>
      <c r="C545">
        <v>1.48</v>
      </c>
      <c r="O545" s="43">
        <v>2665.29</v>
      </c>
    </row>
    <row r="546" spans="2:15">
      <c r="B546" s="42">
        <v>45063</v>
      </c>
      <c r="C546">
        <v>0.83940000000000003</v>
      </c>
      <c r="O546" s="43">
        <v>2651.19</v>
      </c>
    </row>
    <row r="547" spans="2:15">
      <c r="B547" s="42">
        <v>45064</v>
      </c>
      <c r="C547">
        <v>1.43</v>
      </c>
      <c r="O547" s="43">
        <v>2617.13</v>
      </c>
    </row>
    <row r="548" spans="2:15">
      <c r="B548" s="42">
        <v>45065</v>
      </c>
      <c r="C548">
        <v>1.17</v>
      </c>
      <c r="O548" s="43">
        <v>2630.97</v>
      </c>
    </row>
    <row r="549" spans="2:15">
      <c r="B549" s="42">
        <v>45068</v>
      </c>
      <c r="C549">
        <v>0.76822999999999997</v>
      </c>
      <c r="O549" s="43">
        <v>2627.64</v>
      </c>
    </row>
    <row r="550" spans="2:15">
      <c r="B550" s="42">
        <v>45069</v>
      </c>
      <c r="C550">
        <v>0.70386000000000004</v>
      </c>
      <c r="O550" s="43">
        <v>2617.88</v>
      </c>
    </row>
    <row r="551" spans="2:15">
      <c r="B551" s="42">
        <v>45070</v>
      </c>
      <c r="C551">
        <v>0.62887000000000004</v>
      </c>
      <c r="O551" s="43">
        <v>2604.58</v>
      </c>
    </row>
    <row r="552" spans="2:15">
      <c r="B552" s="42">
        <v>45071</v>
      </c>
      <c r="C552">
        <v>1.07</v>
      </c>
      <c r="O552" s="43">
        <v>2586.9499999999998</v>
      </c>
    </row>
    <row r="553" spans="2:15">
      <c r="B553" s="42">
        <v>45072</v>
      </c>
      <c r="C553">
        <v>0.94706999999999997</v>
      </c>
      <c r="O553" s="43">
        <v>2641.83</v>
      </c>
    </row>
    <row r="554" spans="2:15">
      <c r="B554" s="42">
        <v>45075</v>
      </c>
      <c r="C554">
        <v>0.69826999999999995</v>
      </c>
      <c r="O554" s="43">
        <v>2639.79</v>
      </c>
    </row>
    <row r="555" spans="2:15">
      <c r="B555" s="42">
        <v>45076</v>
      </c>
      <c r="C555">
        <v>0.94804999999999995</v>
      </c>
      <c r="O555" s="43">
        <v>2646.01</v>
      </c>
    </row>
    <row r="556" spans="2:15">
      <c r="B556" s="42">
        <v>45077</v>
      </c>
      <c r="C556">
        <v>3.39</v>
      </c>
      <c r="O556" s="43">
        <v>2656.97</v>
      </c>
    </row>
    <row r="557" spans="2:15">
      <c r="B557" s="42">
        <v>45078</v>
      </c>
      <c r="C557">
        <v>1.54</v>
      </c>
      <c r="O557" s="43">
        <v>2687.2</v>
      </c>
    </row>
    <row r="558" spans="2:15">
      <c r="B558" s="42">
        <v>45079</v>
      </c>
      <c r="C558">
        <v>1.51</v>
      </c>
      <c r="O558" s="43">
        <v>2705.93</v>
      </c>
    </row>
    <row r="559" spans="2:15">
      <c r="B559" s="42">
        <v>45082</v>
      </c>
      <c r="C559">
        <v>1</v>
      </c>
      <c r="O559" s="43">
        <v>2685.11</v>
      </c>
    </row>
    <row r="560" spans="2:15">
      <c r="B560" s="42">
        <v>45083</v>
      </c>
      <c r="C560">
        <v>0.65537000000000001</v>
      </c>
      <c r="O560" s="43">
        <v>2680.48</v>
      </c>
    </row>
    <row r="561" spans="2:15">
      <c r="B561" s="42">
        <v>45084</v>
      </c>
      <c r="C561">
        <v>1.43</v>
      </c>
      <c r="O561" s="43">
        <v>2705.43</v>
      </c>
    </row>
    <row r="562" spans="2:15">
      <c r="B562" s="42">
        <v>45085</v>
      </c>
      <c r="C562">
        <v>0.92354000000000003</v>
      </c>
      <c r="O562" s="43">
        <v>2669.27</v>
      </c>
    </row>
    <row r="563" spans="2:15">
      <c r="B563" s="42">
        <v>45086</v>
      </c>
      <c r="C563">
        <v>1.41</v>
      </c>
      <c r="O563" s="43">
        <v>2625.75</v>
      </c>
    </row>
    <row r="564" spans="2:15">
      <c r="B564" s="42">
        <v>45089</v>
      </c>
      <c r="C564">
        <v>0.77547999999999995</v>
      </c>
      <c r="O564" s="43">
        <v>2632.97</v>
      </c>
    </row>
    <row r="565" spans="2:15">
      <c r="B565" s="42">
        <v>45090</v>
      </c>
      <c r="C565">
        <v>1.79</v>
      </c>
      <c r="O565" s="43">
        <v>2665.29</v>
      </c>
    </row>
    <row r="566" spans="2:15">
      <c r="B566" s="42">
        <v>45091</v>
      </c>
      <c r="C566">
        <v>1.54</v>
      </c>
      <c r="O566" s="43">
        <v>2688.05</v>
      </c>
    </row>
    <row r="567" spans="2:15">
      <c r="B567" s="42">
        <v>45092</v>
      </c>
      <c r="C567">
        <v>1.83</v>
      </c>
      <c r="O567" s="43">
        <v>2679.03</v>
      </c>
    </row>
    <row r="568" spans="2:15">
      <c r="B568" s="42">
        <v>45093</v>
      </c>
      <c r="C568">
        <v>1.75</v>
      </c>
      <c r="O568" s="43">
        <v>2704.88</v>
      </c>
    </row>
    <row r="569" spans="2:15">
      <c r="B569" s="42">
        <v>45096</v>
      </c>
      <c r="C569">
        <v>1.07</v>
      </c>
      <c r="O569" s="43">
        <v>2672.61</v>
      </c>
    </row>
    <row r="570" spans="2:15">
      <c r="B570" s="42">
        <v>45097</v>
      </c>
      <c r="C570">
        <v>1.1299999999999999</v>
      </c>
      <c r="O570" s="43">
        <v>2665.49</v>
      </c>
    </row>
    <row r="571" spans="2:15">
      <c r="B571" s="42">
        <v>45098</v>
      </c>
      <c r="C571">
        <v>1.2</v>
      </c>
      <c r="O571" s="43">
        <v>2665.99</v>
      </c>
    </row>
    <row r="572" spans="2:15">
      <c r="B572" s="42">
        <v>45099</v>
      </c>
      <c r="C572">
        <v>0.83004999999999995</v>
      </c>
      <c r="O572" s="43">
        <v>2643.82</v>
      </c>
    </row>
    <row r="573" spans="2:15">
      <c r="B573" s="42">
        <v>45100</v>
      </c>
      <c r="C573">
        <v>0.99121000000000004</v>
      </c>
      <c r="O573" s="43">
        <v>2631.12</v>
      </c>
    </row>
    <row r="574" spans="2:15">
      <c r="B574" s="42">
        <v>45103</v>
      </c>
      <c r="C574">
        <v>0.75870000000000004</v>
      </c>
      <c r="O574" s="43">
        <v>2641.58</v>
      </c>
    </row>
    <row r="575" spans="2:15">
      <c r="B575" s="42">
        <v>45104</v>
      </c>
      <c r="C575">
        <v>0.68774999999999997</v>
      </c>
      <c r="O575" s="43">
        <v>2640.83</v>
      </c>
    </row>
    <row r="576" spans="2:15">
      <c r="B576" s="42">
        <v>45105</v>
      </c>
      <c r="C576">
        <v>1.4</v>
      </c>
      <c r="O576" s="43">
        <v>2650.7</v>
      </c>
    </row>
    <row r="577" spans="2:15">
      <c r="B577" s="42">
        <v>45107</v>
      </c>
      <c r="C577">
        <v>1.1599999999999999</v>
      </c>
      <c r="O577" s="43">
        <v>2667.53</v>
      </c>
    </row>
    <row r="578" spans="2:15">
      <c r="B578" s="42">
        <v>45110</v>
      </c>
      <c r="C578">
        <v>0.98067000000000004</v>
      </c>
      <c r="O578" s="43">
        <v>2690.34</v>
      </c>
    </row>
    <row r="579" spans="2:15">
      <c r="B579" s="42">
        <v>45111</v>
      </c>
      <c r="C579">
        <v>0.72191000000000005</v>
      </c>
      <c r="O579" s="43">
        <v>2689.29</v>
      </c>
    </row>
    <row r="580" spans="2:15">
      <c r="B580" s="42">
        <v>45112</v>
      </c>
      <c r="C580">
        <v>1.72</v>
      </c>
      <c r="O580" s="43">
        <v>2744.92</v>
      </c>
    </row>
    <row r="581" spans="2:15">
      <c r="B581" s="42">
        <v>45113</v>
      </c>
      <c r="C581">
        <v>1.27</v>
      </c>
      <c r="O581" s="43">
        <v>2746.17</v>
      </c>
    </row>
    <row r="582" spans="2:15">
      <c r="B582" s="42">
        <v>45114</v>
      </c>
      <c r="C582">
        <v>1.18</v>
      </c>
      <c r="O582" s="43">
        <v>2687.4</v>
      </c>
    </row>
    <row r="583" spans="2:15">
      <c r="B583" s="42">
        <v>45117</v>
      </c>
      <c r="C583">
        <v>1.52</v>
      </c>
      <c r="O583" s="43">
        <v>2646.01</v>
      </c>
    </row>
    <row r="584" spans="2:15">
      <c r="B584" s="42">
        <v>45118</v>
      </c>
      <c r="C584">
        <v>2.48</v>
      </c>
      <c r="O584" s="43">
        <v>2673.85</v>
      </c>
    </row>
    <row r="585" spans="2:15">
      <c r="B585" s="42">
        <v>45119</v>
      </c>
      <c r="C585">
        <v>2.4</v>
      </c>
      <c r="O585" s="43">
        <v>2663.05</v>
      </c>
    </row>
    <row r="586" spans="2:15">
      <c r="B586" s="42">
        <v>45120</v>
      </c>
      <c r="C586">
        <v>1.5</v>
      </c>
      <c r="O586" s="43">
        <v>2644.17</v>
      </c>
    </row>
    <row r="587" spans="2:15">
      <c r="B587" s="42">
        <v>45121</v>
      </c>
      <c r="C587">
        <v>1.42</v>
      </c>
      <c r="O587" s="43">
        <v>2666.28</v>
      </c>
    </row>
    <row r="588" spans="2:15">
      <c r="B588" s="42">
        <v>45124</v>
      </c>
      <c r="C588">
        <v>0.91269999999999996</v>
      </c>
      <c r="O588" s="43">
        <v>2671.06</v>
      </c>
    </row>
    <row r="589" spans="2:15">
      <c r="B589" s="42">
        <v>45125</v>
      </c>
      <c r="C589">
        <v>1.22</v>
      </c>
      <c r="O589" s="43">
        <v>2672.16</v>
      </c>
    </row>
    <row r="590" spans="2:15">
      <c r="B590" s="42">
        <v>45126</v>
      </c>
      <c r="C590">
        <v>1.17</v>
      </c>
      <c r="O590" s="43">
        <v>2661</v>
      </c>
    </row>
    <row r="591" spans="2:15">
      <c r="B591" s="42">
        <v>45127</v>
      </c>
      <c r="C591">
        <v>1.43</v>
      </c>
      <c r="O591" s="43">
        <v>2692.53</v>
      </c>
    </row>
    <row r="592" spans="2:15">
      <c r="B592" s="42">
        <v>45128</v>
      </c>
      <c r="C592">
        <v>5.2</v>
      </c>
      <c r="O592" s="43">
        <v>2593.67</v>
      </c>
    </row>
    <row r="593" spans="2:15">
      <c r="B593" s="42">
        <v>45131</v>
      </c>
      <c r="C593">
        <v>1.78</v>
      </c>
      <c r="O593" s="43">
        <v>2570.02</v>
      </c>
    </row>
    <row r="594" spans="2:15">
      <c r="B594" s="42">
        <v>45132</v>
      </c>
      <c r="C594">
        <v>1.65</v>
      </c>
      <c r="O594" s="43">
        <v>2557.9699999999998</v>
      </c>
    </row>
    <row r="595" spans="2:15">
      <c r="B595" s="42">
        <v>45133</v>
      </c>
      <c r="C595">
        <v>1.3</v>
      </c>
      <c r="O595" s="43">
        <v>2573.0500000000002</v>
      </c>
    </row>
    <row r="596" spans="2:15">
      <c r="B596" s="42">
        <v>45134</v>
      </c>
      <c r="C596">
        <v>2.2799999999999998</v>
      </c>
      <c r="O596" s="43">
        <v>2559.66</v>
      </c>
    </row>
    <row r="597" spans="2:15">
      <c r="B597" s="42">
        <v>45135</v>
      </c>
      <c r="C597">
        <v>0.96645000000000003</v>
      </c>
      <c r="O597" s="43">
        <v>2574.35</v>
      </c>
    </row>
    <row r="598" spans="2:15">
      <c r="B598" s="42">
        <v>45138</v>
      </c>
      <c r="C598">
        <v>2</v>
      </c>
      <c r="O598" s="43">
        <v>2550.64</v>
      </c>
    </row>
    <row r="599" spans="2:15">
      <c r="B599" s="42">
        <v>45139</v>
      </c>
      <c r="C599">
        <v>1.76</v>
      </c>
      <c r="O599" s="43">
        <v>2540.98</v>
      </c>
    </row>
    <row r="600" spans="2:15">
      <c r="B600" s="42">
        <v>45140</v>
      </c>
      <c r="C600">
        <v>2.08</v>
      </c>
      <c r="O600" s="43">
        <v>2558.7600000000002</v>
      </c>
    </row>
    <row r="601" spans="2:15">
      <c r="B601" s="42">
        <v>45141</v>
      </c>
      <c r="C601">
        <v>1.48</v>
      </c>
      <c r="O601" s="43">
        <v>2541.1799999999998</v>
      </c>
    </row>
    <row r="602" spans="2:15">
      <c r="B602" s="42">
        <v>45142</v>
      </c>
      <c r="C602">
        <v>1.36</v>
      </c>
      <c r="O602" s="43">
        <v>2535.9</v>
      </c>
    </row>
    <row r="603" spans="2:15">
      <c r="B603" s="42">
        <v>45145</v>
      </c>
      <c r="C603">
        <v>0.80381999999999998</v>
      </c>
      <c r="O603" s="43">
        <v>2559.0100000000002</v>
      </c>
    </row>
    <row r="604" spans="2:15">
      <c r="B604" s="42">
        <v>45146</v>
      </c>
      <c r="C604">
        <v>1</v>
      </c>
      <c r="O604" s="43">
        <v>2555.67</v>
      </c>
    </row>
    <row r="605" spans="2:15">
      <c r="B605" s="42">
        <v>45147</v>
      </c>
      <c r="C605">
        <v>1.21</v>
      </c>
      <c r="O605" s="43">
        <v>2542.08</v>
      </c>
    </row>
    <row r="606" spans="2:15">
      <c r="B606" s="42">
        <v>45148</v>
      </c>
      <c r="C606">
        <v>1.31</v>
      </c>
      <c r="O606" s="43">
        <v>2526.64</v>
      </c>
    </row>
    <row r="607" spans="2:15">
      <c r="B607" s="42">
        <v>45149</v>
      </c>
      <c r="C607">
        <v>1.47</v>
      </c>
      <c r="O607" s="43">
        <v>2491.88</v>
      </c>
    </row>
    <row r="608" spans="2:15">
      <c r="B608" s="42">
        <v>45152</v>
      </c>
      <c r="C608">
        <v>1.06</v>
      </c>
      <c r="O608" s="43">
        <v>2523.0500000000002</v>
      </c>
    </row>
    <row r="609" spans="2:15">
      <c r="B609" s="42">
        <v>45154</v>
      </c>
      <c r="C609">
        <v>1.1599999999999999</v>
      </c>
      <c r="O609" s="43">
        <v>2542.48</v>
      </c>
    </row>
    <row r="610" spans="2:15">
      <c r="B610" s="42">
        <v>45155</v>
      </c>
      <c r="C610">
        <v>1.53</v>
      </c>
      <c r="O610" s="43">
        <v>2533.16</v>
      </c>
    </row>
    <row r="611" spans="2:15">
      <c r="B611" s="42">
        <v>45156</v>
      </c>
      <c r="C611">
        <v>1.97</v>
      </c>
      <c r="O611" s="43">
        <v>2544.62</v>
      </c>
    </row>
    <row r="612" spans="2:15">
      <c r="B612" s="42">
        <v>45159</v>
      </c>
      <c r="C612">
        <v>0.97699999999999998</v>
      </c>
      <c r="O612" s="43">
        <v>2552.59</v>
      </c>
    </row>
    <row r="613" spans="2:15">
      <c r="B613" s="42">
        <v>45160</v>
      </c>
      <c r="C613">
        <v>0.96003000000000005</v>
      </c>
      <c r="O613" s="43">
        <v>2555.62</v>
      </c>
    </row>
    <row r="614" spans="2:15">
      <c r="B614" s="42">
        <v>45161</v>
      </c>
      <c r="C614">
        <v>1.1399999999999999</v>
      </c>
      <c r="O614" s="43">
        <v>2563.84</v>
      </c>
    </row>
    <row r="615" spans="2:15">
      <c r="B615" s="42">
        <v>45162</v>
      </c>
      <c r="C615">
        <v>1.1399999999999999</v>
      </c>
      <c r="O615" s="43">
        <v>2571.0100000000002</v>
      </c>
    </row>
    <row r="616" spans="2:15">
      <c r="B616" s="42">
        <v>45163</v>
      </c>
      <c r="C616">
        <v>0.80296000000000001</v>
      </c>
      <c r="O616" s="43">
        <v>2553.38</v>
      </c>
    </row>
    <row r="617" spans="2:15">
      <c r="B617" s="42">
        <v>45166</v>
      </c>
      <c r="C617">
        <v>0.61983999999999995</v>
      </c>
      <c r="O617" s="43">
        <v>2545.56</v>
      </c>
    </row>
    <row r="618" spans="2:15">
      <c r="B618" s="42">
        <v>45167</v>
      </c>
      <c r="C618">
        <v>0.95855999999999997</v>
      </c>
      <c r="O618" s="43">
        <v>2516.13</v>
      </c>
    </row>
    <row r="619" spans="2:15">
      <c r="B619" s="42">
        <v>45168</v>
      </c>
      <c r="C619">
        <v>1.23</v>
      </c>
      <c r="O619" s="43">
        <v>2521.91</v>
      </c>
    </row>
    <row r="620" spans="2:15">
      <c r="B620" s="42">
        <v>45169</v>
      </c>
      <c r="C620">
        <v>3.24</v>
      </c>
      <c r="O620" s="43">
        <v>2495.11</v>
      </c>
    </row>
    <row r="621" spans="2:15">
      <c r="B621" s="42">
        <v>45170</v>
      </c>
      <c r="C621">
        <v>0.81340999999999997</v>
      </c>
      <c r="O621" s="43">
        <v>2494.87</v>
      </c>
    </row>
    <row r="622" spans="2:15">
      <c r="B622" s="42">
        <v>45173</v>
      </c>
      <c r="C622">
        <v>1.1399999999999999</v>
      </c>
      <c r="O622" s="43">
        <v>2491.48</v>
      </c>
    </row>
    <row r="623" spans="2:15">
      <c r="B623" s="42">
        <v>45174</v>
      </c>
      <c r="C623">
        <v>0.84409000000000001</v>
      </c>
      <c r="O623" s="43">
        <v>2497.11</v>
      </c>
    </row>
    <row r="624" spans="2:15">
      <c r="B624" s="42">
        <v>45175</v>
      </c>
      <c r="C624">
        <v>1.0900000000000001</v>
      </c>
      <c r="O624" s="43">
        <v>2513.4899999999998</v>
      </c>
    </row>
    <row r="625" spans="2:15">
      <c r="B625" s="42">
        <v>45176</v>
      </c>
      <c r="C625">
        <v>1.89</v>
      </c>
      <c r="O625" s="43">
        <v>2497.5</v>
      </c>
    </row>
    <row r="626" spans="2:15">
      <c r="B626" s="42">
        <v>45177</v>
      </c>
      <c r="C626">
        <v>1.02</v>
      </c>
      <c r="O626" s="43">
        <v>2503.83</v>
      </c>
    </row>
    <row r="627" spans="2:15">
      <c r="B627" s="42">
        <v>45180</v>
      </c>
      <c r="C627">
        <v>1.1200000000000001</v>
      </c>
      <c r="O627" s="43">
        <v>2526.19</v>
      </c>
    </row>
    <row r="628" spans="2:15">
      <c r="B628" s="42">
        <v>45181</v>
      </c>
      <c r="C628">
        <v>3.95</v>
      </c>
      <c r="O628" s="43">
        <v>2488.94</v>
      </c>
    </row>
    <row r="629" spans="2:15">
      <c r="B629" s="42">
        <v>45182</v>
      </c>
      <c r="C629">
        <v>1.23</v>
      </c>
      <c r="O629" s="43">
        <v>2496.61</v>
      </c>
    </row>
    <row r="630" spans="2:15">
      <c r="B630" s="42">
        <v>45183</v>
      </c>
      <c r="C630">
        <v>2.08</v>
      </c>
      <c r="O630" s="43">
        <v>2490.88</v>
      </c>
    </row>
    <row r="631" spans="2:15">
      <c r="B631" s="42">
        <v>45184</v>
      </c>
      <c r="C631">
        <v>3.75</v>
      </c>
      <c r="O631" s="43">
        <v>2459.91</v>
      </c>
    </row>
    <row r="632" spans="2:15">
      <c r="B632" s="42">
        <v>45187</v>
      </c>
      <c r="C632">
        <v>1.5</v>
      </c>
      <c r="O632" s="43">
        <v>2478.7800000000002</v>
      </c>
    </row>
    <row r="633" spans="2:15">
      <c r="B633" s="42">
        <v>45189</v>
      </c>
      <c r="C633">
        <v>1.8</v>
      </c>
      <c r="O633" s="43">
        <v>2457.0700000000002</v>
      </c>
    </row>
    <row r="634" spans="2:15">
      <c r="B634" s="42">
        <v>45190</v>
      </c>
      <c r="C634">
        <v>2.2200000000000002</v>
      </c>
      <c r="O634" s="43">
        <v>2463.54</v>
      </c>
    </row>
    <row r="635" spans="2:15">
      <c r="B635" s="42">
        <v>45191</v>
      </c>
      <c r="C635">
        <v>1.18</v>
      </c>
      <c r="O635" s="43">
        <v>2472.6</v>
      </c>
    </row>
    <row r="636" spans="2:15">
      <c r="B636" s="42">
        <v>45194</v>
      </c>
      <c r="C636">
        <v>1.1200000000000001</v>
      </c>
      <c r="O636" s="43">
        <v>2466.0300000000002</v>
      </c>
    </row>
    <row r="637" spans="2:15">
      <c r="B637" s="42">
        <v>45195</v>
      </c>
      <c r="C637">
        <v>1.26</v>
      </c>
      <c r="O637" s="43">
        <v>2469.12</v>
      </c>
    </row>
    <row r="638" spans="2:15">
      <c r="B638" s="42">
        <v>45196</v>
      </c>
      <c r="C638">
        <v>1.0900000000000001</v>
      </c>
      <c r="O638" s="43">
        <v>2491.83</v>
      </c>
    </row>
    <row r="639" spans="2:15">
      <c r="B639" s="42">
        <v>45197</v>
      </c>
      <c r="C639">
        <v>1.61</v>
      </c>
      <c r="O639" s="43">
        <v>2450.59</v>
      </c>
    </row>
    <row r="640" spans="2:15">
      <c r="B640" s="42">
        <v>45198</v>
      </c>
      <c r="C640">
        <v>1.25</v>
      </c>
      <c r="O640" s="43">
        <v>2455.8200000000002</v>
      </c>
    </row>
    <row r="641" spans="2:15">
      <c r="B641" s="42">
        <v>45202</v>
      </c>
      <c r="C641">
        <v>1.59</v>
      </c>
      <c r="O641" s="43">
        <v>2459.11</v>
      </c>
    </row>
    <row r="642" spans="2:15">
      <c r="B642" s="42">
        <v>45203</v>
      </c>
      <c r="C642">
        <v>1.59</v>
      </c>
      <c r="O642" s="43">
        <v>2497.9</v>
      </c>
    </row>
    <row r="643" spans="2:15">
      <c r="B643" s="42">
        <v>45204</v>
      </c>
      <c r="C643">
        <v>1.91</v>
      </c>
      <c r="O643" s="43">
        <v>2509.56</v>
      </c>
    </row>
    <row r="644" spans="2:15">
      <c r="B644" s="42">
        <v>45205</v>
      </c>
      <c r="C644">
        <v>1.08</v>
      </c>
      <c r="O644" s="43">
        <v>2489.4899999999998</v>
      </c>
    </row>
    <row r="645" spans="2:15">
      <c r="B645" s="42">
        <v>45208</v>
      </c>
      <c r="C645">
        <v>1.47</v>
      </c>
      <c r="O645" s="43">
        <v>2501.34</v>
      </c>
    </row>
    <row r="646" spans="2:15">
      <c r="B646" s="42">
        <v>45209</v>
      </c>
      <c r="C646">
        <v>1.0900000000000001</v>
      </c>
      <c r="O646" s="43">
        <v>2506.2199999999998</v>
      </c>
    </row>
    <row r="647" spans="2:15">
      <c r="B647" s="42">
        <v>45210</v>
      </c>
      <c r="C647">
        <v>1.7</v>
      </c>
      <c r="O647" s="43">
        <v>2546.2600000000002</v>
      </c>
    </row>
    <row r="648" spans="2:15">
      <c r="B648" s="42">
        <v>45211</v>
      </c>
      <c r="C648">
        <v>1.63</v>
      </c>
      <c r="O648" s="43">
        <v>2546.86</v>
      </c>
    </row>
    <row r="649" spans="2:15">
      <c r="B649" s="42">
        <v>45212</v>
      </c>
      <c r="C649">
        <v>1.53</v>
      </c>
      <c r="O649" s="43">
        <v>2559.2600000000002</v>
      </c>
    </row>
    <row r="650" spans="2:15">
      <c r="B650" s="42">
        <v>45215</v>
      </c>
      <c r="C650">
        <v>0.95489999999999997</v>
      </c>
      <c r="O650" s="43">
        <v>2548.15</v>
      </c>
    </row>
    <row r="651" spans="2:15">
      <c r="B651" s="42">
        <v>45216</v>
      </c>
      <c r="C651">
        <v>1.25</v>
      </c>
      <c r="O651" s="43">
        <v>2546.0100000000002</v>
      </c>
    </row>
    <row r="652" spans="2:15">
      <c r="B652" s="42">
        <v>45217</v>
      </c>
      <c r="C652">
        <v>1.08</v>
      </c>
      <c r="O652" s="43">
        <v>2538.14</v>
      </c>
    </row>
    <row r="653" spans="2:15">
      <c r="B653" s="42">
        <v>45218</v>
      </c>
      <c r="C653">
        <v>1.27</v>
      </c>
      <c r="O653" s="43">
        <v>2537.9899999999998</v>
      </c>
    </row>
    <row r="654" spans="2:15">
      <c r="B654" s="42">
        <v>45219</v>
      </c>
      <c r="C654">
        <v>3.61</v>
      </c>
      <c r="O654" s="43">
        <v>2485.25</v>
      </c>
    </row>
    <row r="655" spans="2:15">
      <c r="B655" s="42">
        <v>45222</v>
      </c>
      <c r="C655">
        <v>0.92271000000000003</v>
      </c>
      <c r="O655" s="43">
        <v>2473.65</v>
      </c>
    </row>
    <row r="656" spans="2:15">
      <c r="B656" s="42">
        <v>45224</v>
      </c>
      <c r="C656">
        <v>1.44</v>
      </c>
      <c r="O656" s="43">
        <v>2467.48</v>
      </c>
    </row>
    <row r="657" spans="2:15">
      <c r="B657" s="42">
        <v>45225</v>
      </c>
      <c r="C657">
        <v>2.65</v>
      </c>
      <c r="O657" s="43">
        <v>2466.58</v>
      </c>
    </row>
    <row r="658" spans="2:15">
      <c r="B658" s="42">
        <v>45226</v>
      </c>
      <c r="C658">
        <v>1.78</v>
      </c>
      <c r="O658" s="43">
        <v>2472.21</v>
      </c>
    </row>
    <row r="659" spans="2:15">
      <c r="B659" s="42">
        <v>45229</v>
      </c>
      <c r="C659">
        <v>0.87514000000000003</v>
      </c>
      <c r="O659" s="43">
        <v>2469.0700000000002</v>
      </c>
    </row>
    <row r="660" spans="2:15">
      <c r="B660" s="42">
        <v>45230</v>
      </c>
      <c r="C660">
        <v>0.92040999999999995</v>
      </c>
      <c r="O660" s="43">
        <v>2474.15</v>
      </c>
    </row>
    <row r="661" spans="2:15">
      <c r="B661" s="42">
        <v>45231</v>
      </c>
      <c r="C661">
        <v>1.27</v>
      </c>
      <c r="O661" s="43">
        <v>2462.4499999999998</v>
      </c>
    </row>
    <row r="662" spans="2:15">
      <c r="B662" s="42">
        <v>45232</v>
      </c>
      <c r="C662">
        <v>1.6</v>
      </c>
      <c r="O662" s="43">
        <v>2476.94</v>
      </c>
    </row>
    <row r="663" spans="2:15">
      <c r="B663" s="42">
        <v>45233</v>
      </c>
      <c r="C663">
        <v>1.1299999999999999</v>
      </c>
      <c r="O663" s="43">
        <v>2499.3000000000002</v>
      </c>
    </row>
    <row r="664" spans="2:15">
      <c r="B664" s="42">
        <v>45236</v>
      </c>
      <c r="C664">
        <v>1.34</v>
      </c>
      <c r="O664" s="43">
        <v>2487.5</v>
      </c>
    </row>
    <row r="665" spans="2:15">
      <c r="B665" s="42">
        <v>45237</v>
      </c>
      <c r="C665">
        <v>1.47</v>
      </c>
      <c r="O665" s="43">
        <v>2486.5500000000002</v>
      </c>
    </row>
    <row r="666" spans="2:15">
      <c r="B666" s="42">
        <v>45238</v>
      </c>
      <c r="C666">
        <v>0.74502000000000002</v>
      </c>
      <c r="O666" s="43">
        <v>2509.36</v>
      </c>
    </row>
    <row r="667" spans="2:15">
      <c r="B667" s="42">
        <v>45239</v>
      </c>
      <c r="C667">
        <v>1.82</v>
      </c>
      <c r="O667" s="43">
        <v>2466.88</v>
      </c>
    </row>
    <row r="668" spans="2:15">
      <c r="B668" s="42">
        <v>45240</v>
      </c>
      <c r="C668">
        <v>0.77105999999999997</v>
      </c>
      <c r="O668" s="43">
        <v>2476.69</v>
      </c>
    </row>
    <row r="669" spans="2:15">
      <c r="B669" s="42">
        <v>45242</v>
      </c>
      <c r="C669">
        <v>8.2470000000000002E-2</v>
      </c>
      <c r="O669" s="43">
        <v>2491.5500000000002</v>
      </c>
    </row>
    <row r="670" spans="2:15">
      <c r="B670" s="42">
        <v>45243</v>
      </c>
      <c r="C670">
        <v>0.76080999999999999</v>
      </c>
      <c r="O670" s="43">
        <v>2468.3200000000002</v>
      </c>
    </row>
    <row r="671" spans="2:15">
      <c r="B671" s="42">
        <v>45245</v>
      </c>
      <c r="C671">
        <v>1.46</v>
      </c>
      <c r="O671" s="43">
        <v>2476.54</v>
      </c>
    </row>
    <row r="672" spans="2:15">
      <c r="B672" s="42">
        <v>45246</v>
      </c>
      <c r="C672">
        <v>1.42</v>
      </c>
      <c r="O672" s="43">
        <v>2481.3200000000002</v>
      </c>
    </row>
    <row r="673" spans="2:15">
      <c r="B673" s="42">
        <v>45247</v>
      </c>
      <c r="C673">
        <v>1.76</v>
      </c>
      <c r="O673" s="43">
        <v>2518.77</v>
      </c>
    </row>
    <row r="674" spans="2:15">
      <c r="B674" s="42">
        <v>45250</v>
      </c>
      <c r="C674">
        <v>0.94423000000000001</v>
      </c>
      <c r="O674" s="43">
        <v>2496.5100000000002</v>
      </c>
    </row>
    <row r="675" spans="2:15">
      <c r="B675" s="42">
        <v>45251</v>
      </c>
      <c r="C675">
        <v>1.0900000000000001</v>
      </c>
      <c r="O675" s="43">
        <v>2495.31</v>
      </c>
    </row>
    <row r="676" spans="2:15">
      <c r="B676" s="42">
        <v>45252</v>
      </c>
      <c r="C676">
        <v>0.81660999999999995</v>
      </c>
      <c r="O676" s="43">
        <v>2511.9</v>
      </c>
    </row>
    <row r="677" spans="2:15">
      <c r="B677" s="42">
        <v>45253</v>
      </c>
      <c r="C677">
        <v>1.02</v>
      </c>
      <c r="O677" s="43">
        <v>2509.91</v>
      </c>
    </row>
    <row r="678" spans="2:15">
      <c r="B678" s="42">
        <v>45254</v>
      </c>
      <c r="C678">
        <v>0.73514000000000002</v>
      </c>
      <c r="O678" s="43">
        <v>2505.23</v>
      </c>
    </row>
    <row r="679" spans="2:15">
      <c r="B679" s="42">
        <v>45258</v>
      </c>
      <c r="C679">
        <v>1.88</v>
      </c>
      <c r="O679" s="43">
        <v>2500.59</v>
      </c>
    </row>
    <row r="680" spans="2:15">
      <c r="B680" s="42">
        <v>45259</v>
      </c>
      <c r="C680">
        <v>1.27</v>
      </c>
      <c r="O680" s="43">
        <v>2515.04</v>
      </c>
    </row>
    <row r="681" spans="2:15">
      <c r="B681" s="42">
        <v>45260</v>
      </c>
      <c r="C681">
        <v>3.1</v>
      </c>
      <c r="O681" s="43">
        <v>2535.4499999999998</v>
      </c>
    </row>
    <row r="682" spans="2:15">
      <c r="B682" s="42">
        <v>45261</v>
      </c>
      <c r="C682">
        <v>1.35</v>
      </c>
      <c r="O682" s="43">
        <v>2553.48</v>
      </c>
    </row>
    <row r="683" spans="2:15">
      <c r="B683" s="42">
        <v>45264</v>
      </c>
      <c r="C683">
        <v>2.19</v>
      </c>
      <c r="O683" s="43">
        <v>2591.98</v>
      </c>
    </row>
    <row r="684" spans="2:15">
      <c r="B684" s="42">
        <v>45265</v>
      </c>
      <c r="C684">
        <v>3.11</v>
      </c>
      <c r="O684" s="43">
        <v>2553.08</v>
      </c>
    </row>
    <row r="685" spans="2:15">
      <c r="B685" s="42">
        <v>45266</v>
      </c>
      <c r="C685">
        <v>1.57</v>
      </c>
      <c r="O685" s="43">
        <v>2557.4699999999998</v>
      </c>
    </row>
    <row r="686" spans="2:15">
      <c r="B686" s="42">
        <v>45267</v>
      </c>
      <c r="C686">
        <v>3.93</v>
      </c>
      <c r="O686" s="43">
        <v>2508.2600000000002</v>
      </c>
    </row>
    <row r="687" spans="2:15">
      <c r="B687" s="42">
        <v>45268</v>
      </c>
      <c r="C687">
        <v>1.61</v>
      </c>
      <c r="O687" s="43">
        <v>2512.3000000000002</v>
      </c>
    </row>
    <row r="688" spans="2:15">
      <c r="B688" s="42">
        <v>45271</v>
      </c>
      <c r="C688">
        <v>2.0099999999999998</v>
      </c>
      <c r="O688" s="43">
        <v>2493.7199999999998</v>
      </c>
    </row>
    <row r="689" spans="2:15">
      <c r="B689" s="42">
        <v>45272</v>
      </c>
      <c r="C689">
        <v>1.68</v>
      </c>
      <c r="O689" s="43">
        <v>2492.8200000000002</v>
      </c>
    </row>
    <row r="690" spans="2:15">
      <c r="B690" s="42">
        <v>45273</v>
      </c>
      <c r="C690">
        <v>1.51</v>
      </c>
      <c r="O690" s="43">
        <v>2501.94</v>
      </c>
    </row>
    <row r="691" spans="2:15">
      <c r="B691" s="42">
        <v>45274</v>
      </c>
      <c r="C691">
        <v>2.17</v>
      </c>
      <c r="O691" s="43">
        <v>2506.37</v>
      </c>
    </row>
    <row r="692" spans="2:15">
      <c r="B692" s="42">
        <v>45275</v>
      </c>
      <c r="C692">
        <v>2.54</v>
      </c>
      <c r="O692" s="43">
        <v>2512.89</v>
      </c>
    </row>
    <row r="693" spans="2:15">
      <c r="B693" s="42">
        <v>45278</v>
      </c>
      <c r="C693">
        <v>1.97</v>
      </c>
      <c r="O693" s="43">
        <v>2525.44</v>
      </c>
    </row>
    <row r="694" spans="2:15">
      <c r="B694" s="42">
        <v>45279</v>
      </c>
      <c r="C694">
        <v>1.66</v>
      </c>
      <c r="O694" s="43">
        <v>2550.54</v>
      </c>
    </row>
    <row r="695" spans="2:15">
      <c r="B695" s="42">
        <v>45280</v>
      </c>
      <c r="C695">
        <v>1.47</v>
      </c>
      <c r="O695" s="43">
        <v>2547.36</v>
      </c>
    </row>
    <row r="696" spans="2:15">
      <c r="B696" s="42">
        <v>45281</v>
      </c>
      <c r="C696">
        <v>1.95</v>
      </c>
      <c r="O696" s="43">
        <v>2543.0700000000002</v>
      </c>
    </row>
    <row r="697" spans="2:15">
      <c r="B697" s="42">
        <v>45282</v>
      </c>
      <c r="C697">
        <v>1.17</v>
      </c>
      <c r="O697" s="43">
        <v>2565.39</v>
      </c>
    </row>
    <row r="698" spans="2:15">
      <c r="B698" s="42">
        <v>45286</v>
      </c>
      <c r="C698">
        <v>0.89378000000000002</v>
      </c>
      <c r="O698" s="43">
        <v>2574.5</v>
      </c>
    </row>
    <row r="699" spans="2:15">
      <c r="B699" s="42">
        <v>45287</v>
      </c>
      <c r="C699">
        <v>1.07</v>
      </c>
      <c r="O699" s="43">
        <v>2597.96</v>
      </c>
    </row>
    <row r="700" spans="2:15">
      <c r="B700" s="42">
        <v>45288</v>
      </c>
      <c r="C700">
        <v>1.64</v>
      </c>
      <c r="O700" s="43">
        <v>2623.35</v>
      </c>
    </row>
    <row r="701" spans="2:15">
      <c r="B701" s="42">
        <v>45289</v>
      </c>
      <c r="C701">
        <v>1.31</v>
      </c>
      <c r="O701" s="43">
        <v>2653.39</v>
      </c>
    </row>
    <row r="702" spans="2:15">
      <c r="B702" s="42">
        <v>45292</v>
      </c>
      <c r="C702">
        <v>0.52634999999999998</v>
      </c>
      <c r="O702" s="43">
        <v>2644.22</v>
      </c>
    </row>
    <row r="703" spans="2:15">
      <c r="B703" s="42">
        <v>45293</v>
      </c>
      <c r="C703">
        <v>1.31</v>
      </c>
      <c r="O703" s="43">
        <v>2603.4299999999998</v>
      </c>
    </row>
    <row r="704" spans="2:15">
      <c r="B704" s="42">
        <v>45294</v>
      </c>
      <c r="C704">
        <v>1.01</v>
      </c>
      <c r="O704" s="43">
        <v>2596.21</v>
      </c>
    </row>
    <row r="705" spans="2:15">
      <c r="B705" s="42">
        <v>45295</v>
      </c>
      <c r="C705">
        <v>1.38</v>
      </c>
      <c r="O705" s="43">
        <v>2582.27</v>
      </c>
    </row>
    <row r="706" spans="2:15">
      <c r="B706" s="42">
        <v>45296</v>
      </c>
      <c r="C706">
        <v>1.1499999999999999</v>
      </c>
      <c r="O706" s="43">
        <v>2609.66</v>
      </c>
    </row>
    <row r="707" spans="2:15">
      <c r="B707" s="42">
        <v>45299</v>
      </c>
      <c r="C707">
        <v>1.19</v>
      </c>
      <c r="O707" s="43">
        <v>2568.02</v>
      </c>
    </row>
    <row r="708" spans="2:15">
      <c r="B708" s="42">
        <v>45300</v>
      </c>
      <c r="C708">
        <v>1.02</v>
      </c>
      <c r="O708" s="43">
        <v>2569.52</v>
      </c>
    </row>
    <row r="709" spans="2:15">
      <c r="B709" s="42">
        <v>45301</v>
      </c>
      <c r="C709">
        <v>0.88127999999999995</v>
      </c>
      <c r="O709" s="43">
        <v>2567.1799999999998</v>
      </c>
    </row>
    <row r="710" spans="2:15">
      <c r="B710" s="42">
        <v>45302</v>
      </c>
      <c r="C710">
        <v>2.4</v>
      </c>
      <c r="O710" s="43">
        <v>2526.14</v>
      </c>
    </row>
    <row r="711" spans="2:15">
      <c r="B711" s="42">
        <v>45303</v>
      </c>
      <c r="C711">
        <v>2.98</v>
      </c>
      <c r="O711" s="43">
        <v>2533.91</v>
      </c>
    </row>
    <row r="712" spans="2:15">
      <c r="B712" s="42">
        <v>45306</v>
      </c>
      <c r="C712">
        <v>1.39</v>
      </c>
      <c r="O712" s="43">
        <v>2563</v>
      </c>
    </row>
    <row r="713" spans="2:15">
      <c r="B713" s="42">
        <v>45307</v>
      </c>
      <c r="C713">
        <v>1.6</v>
      </c>
      <c r="O713" s="43">
        <v>2558.91</v>
      </c>
    </row>
    <row r="714" spans="2:15">
      <c r="B714" s="42">
        <v>45308</v>
      </c>
      <c r="C714">
        <v>3.05</v>
      </c>
      <c r="O714" s="43">
        <v>2552.7399999999998</v>
      </c>
    </row>
    <row r="715" spans="2:15">
      <c r="B715" s="42">
        <v>45309</v>
      </c>
      <c r="C715">
        <v>1.27</v>
      </c>
      <c r="O715" s="43">
        <v>2537.9</v>
      </c>
    </row>
    <row r="716" spans="2:15">
      <c r="B716" s="42">
        <v>45310</v>
      </c>
      <c r="C716">
        <v>1.32</v>
      </c>
      <c r="O716" s="43">
        <v>2555.23</v>
      </c>
    </row>
    <row r="717" spans="2:15">
      <c r="B717" s="42">
        <v>45311</v>
      </c>
      <c r="C717">
        <v>2.4700000000000002</v>
      </c>
      <c r="O717" s="43">
        <v>2468.9</v>
      </c>
    </row>
    <row r="718" spans="2:15">
      <c r="B718" s="42">
        <v>45314</v>
      </c>
      <c r="C718">
        <v>4.37</v>
      </c>
      <c r="O718" s="43">
        <v>2366.13</v>
      </c>
    </row>
    <row r="719" spans="2:15">
      <c r="B719" s="42">
        <v>45315</v>
      </c>
      <c r="C719">
        <v>1.55</v>
      </c>
      <c r="O719" s="43">
        <v>2431.9699999999998</v>
      </c>
    </row>
    <row r="720" spans="2:15">
      <c r="B720" s="42">
        <v>45316</v>
      </c>
      <c r="C720">
        <v>2.36</v>
      </c>
      <c r="O720" s="43">
        <v>2418.67</v>
      </c>
    </row>
    <row r="721" spans="2:15">
      <c r="B721" s="42">
        <v>45320</v>
      </c>
      <c r="C721">
        <v>1.59</v>
      </c>
      <c r="O721" s="43">
        <v>2434.71</v>
      </c>
    </row>
    <row r="722" spans="2:15">
      <c r="B722" s="42">
        <v>45321</v>
      </c>
      <c r="C722">
        <v>1.79</v>
      </c>
      <c r="O722" s="43">
        <v>2448.9</v>
      </c>
    </row>
    <row r="723" spans="2:15">
      <c r="B723" s="42">
        <v>45322</v>
      </c>
      <c r="C723">
        <v>1.45</v>
      </c>
      <c r="O723" s="43">
        <v>2471.71</v>
      </c>
    </row>
    <row r="724" spans="2:15">
      <c r="B724" s="42">
        <v>45323</v>
      </c>
      <c r="C724">
        <v>1.73</v>
      </c>
      <c r="O724" s="43">
        <v>2463.79</v>
      </c>
    </row>
    <row r="725" spans="2:15">
      <c r="B725" s="42">
        <v>45324</v>
      </c>
      <c r="C725">
        <v>1.96</v>
      </c>
      <c r="O725" s="43">
        <v>2442.87</v>
      </c>
    </row>
    <row r="726" spans="2:15">
      <c r="B726" s="42">
        <v>45327</v>
      </c>
      <c r="C726">
        <v>1.32</v>
      </c>
      <c r="O726" s="43">
        <v>2409.9</v>
      </c>
    </row>
    <row r="727" spans="2:15">
      <c r="B727" s="42">
        <v>45328</v>
      </c>
      <c r="C727">
        <v>1.56</v>
      </c>
      <c r="O727" s="43">
        <v>2416.73</v>
      </c>
    </row>
    <row r="728" spans="2:15">
      <c r="B728" s="42">
        <v>45329</v>
      </c>
      <c r="C728">
        <v>1.1499999999999999</v>
      </c>
      <c r="O728" s="43">
        <v>2415.83</v>
      </c>
    </row>
    <row r="729" spans="2:15">
      <c r="B729" s="42">
        <v>45330</v>
      </c>
      <c r="C729">
        <v>1.76</v>
      </c>
      <c r="O729" s="43">
        <v>2407.46</v>
      </c>
    </row>
    <row r="730" spans="2:15">
      <c r="B730" s="42">
        <v>45331</v>
      </c>
      <c r="C730">
        <v>0.88646999999999998</v>
      </c>
      <c r="O730" s="43">
        <v>2414.54</v>
      </c>
    </row>
    <row r="731" spans="2:15">
      <c r="B731" s="42">
        <v>45334</v>
      </c>
      <c r="C731">
        <v>1.29</v>
      </c>
      <c r="O731" s="43">
        <v>2376.19</v>
      </c>
    </row>
    <row r="732" spans="2:15">
      <c r="B732" s="42">
        <v>45335</v>
      </c>
      <c r="C732">
        <v>0.95787</v>
      </c>
      <c r="O732" s="43">
        <v>2384.5</v>
      </c>
    </row>
    <row r="733" spans="2:15">
      <c r="B733" s="42">
        <v>45336</v>
      </c>
      <c r="C733">
        <v>1.4</v>
      </c>
      <c r="O733" s="43">
        <v>2378.48</v>
      </c>
    </row>
    <row r="734" spans="2:15">
      <c r="B734" s="42">
        <v>45337</v>
      </c>
      <c r="C734">
        <v>2.5499999999999998</v>
      </c>
      <c r="O734" s="43">
        <v>2341.5300000000002</v>
      </c>
    </row>
    <row r="735" spans="2:15">
      <c r="B735" s="42">
        <v>45338</v>
      </c>
      <c r="C735">
        <v>2.36</v>
      </c>
      <c r="O735" s="43">
        <v>2365.83</v>
      </c>
    </row>
    <row r="736" spans="2:15">
      <c r="B736" s="42">
        <v>45341</v>
      </c>
      <c r="C736">
        <v>0.57667999999999997</v>
      </c>
      <c r="O736" s="43">
        <v>2377.6799999999998</v>
      </c>
    </row>
    <row r="737" spans="2:15">
      <c r="B737" s="42">
        <v>45342</v>
      </c>
      <c r="C737">
        <v>1.03</v>
      </c>
      <c r="O737" s="43">
        <v>2394.56</v>
      </c>
    </row>
    <row r="738" spans="2:15">
      <c r="B738" s="42">
        <v>45343</v>
      </c>
      <c r="C738">
        <v>1.1299999999999999</v>
      </c>
      <c r="O738" s="43">
        <v>2397.5500000000002</v>
      </c>
    </row>
    <row r="739" spans="2:15">
      <c r="B739" s="42">
        <v>45344</v>
      </c>
      <c r="C739">
        <v>2.2599999999999998</v>
      </c>
      <c r="O739" s="43">
        <v>2378.63</v>
      </c>
    </row>
    <row r="740" spans="2:15">
      <c r="B740" s="42">
        <v>45345</v>
      </c>
      <c r="C740">
        <v>1.21</v>
      </c>
      <c r="O740" s="43">
        <v>2384.6</v>
      </c>
    </row>
    <row r="741" spans="2:15">
      <c r="B741" s="42">
        <v>45348</v>
      </c>
      <c r="C741">
        <v>0.83160000000000001</v>
      </c>
      <c r="O741" s="43">
        <v>2394.7199999999998</v>
      </c>
    </row>
    <row r="742" spans="2:15">
      <c r="B742" s="42">
        <v>45349</v>
      </c>
      <c r="C742">
        <v>1.1200000000000001</v>
      </c>
      <c r="O742" s="43">
        <v>2395.7600000000002</v>
      </c>
    </row>
    <row r="743" spans="2:15">
      <c r="B743" s="42">
        <v>45350</v>
      </c>
      <c r="C743">
        <v>0.62914999999999999</v>
      </c>
      <c r="O743" s="43">
        <v>2411.9499999999998</v>
      </c>
    </row>
    <row r="744" spans="2:15">
      <c r="B744" s="42">
        <v>45351</v>
      </c>
      <c r="C744">
        <v>2.85</v>
      </c>
      <c r="O744" s="43">
        <v>2402.73</v>
      </c>
    </row>
    <row r="745" spans="2:15">
      <c r="B745" s="42">
        <v>45352</v>
      </c>
      <c r="C745">
        <v>2.33</v>
      </c>
      <c r="O745" s="43">
        <v>2400.14</v>
      </c>
    </row>
    <row r="746" spans="2:15">
      <c r="B746" s="42">
        <v>45353</v>
      </c>
      <c r="C746">
        <v>4.2909999999999997E-2</v>
      </c>
      <c r="O746" s="43">
        <v>2416.1999999999998</v>
      </c>
    </row>
    <row r="747" spans="2:15">
      <c r="B747" s="42">
        <v>45355</v>
      </c>
      <c r="C747">
        <v>1.5</v>
      </c>
      <c r="O747" s="43">
        <v>2412.39</v>
      </c>
    </row>
    <row r="748" spans="2:15">
      <c r="B748" s="42">
        <v>45356</v>
      </c>
      <c r="C748">
        <v>1.59</v>
      </c>
      <c r="O748" s="43">
        <v>2390.33</v>
      </c>
    </row>
    <row r="749" spans="2:15">
      <c r="B749" s="42">
        <v>45357</v>
      </c>
      <c r="C749">
        <v>1.35</v>
      </c>
      <c r="O749" s="43">
        <v>2391.2800000000002</v>
      </c>
    </row>
    <row r="750" spans="2:15">
      <c r="B750" s="42">
        <v>45358</v>
      </c>
      <c r="C750">
        <v>1.82</v>
      </c>
      <c r="O750" s="43">
        <v>2409.9499999999998</v>
      </c>
    </row>
    <row r="751" spans="2:15">
      <c r="B751" s="42">
        <v>45362</v>
      </c>
      <c r="C751">
        <v>2.04</v>
      </c>
      <c r="O751" s="43">
        <v>2380.37</v>
      </c>
    </row>
    <row r="752" spans="2:15">
      <c r="B752" s="42">
        <v>45363</v>
      </c>
      <c r="C752">
        <v>1.01</v>
      </c>
      <c r="O752" s="43">
        <v>2368.7199999999998</v>
      </c>
    </row>
    <row r="753" spans="2:15">
      <c r="B753" s="42">
        <v>45364</v>
      </c>
      <c r="C753">
        <v>2.3199999999999998</v>
      </c>
      <c r="O753" s="43">
        <v>2303.4299999999998</v>
      </c>
    </row>
    <row r="754" spans="2:15">
      <c r="B754" s="42">
        <v>45365</v>
      </c>
      <c r="C754">
        <v>2.29</v>
      </c>
      <c r="O754" s="43">
        <v>2325.34</v>
      </c>
    </row>
    <row r="755" spans="2:15">
      <c r="B755" s="42">
        <v>45366</v>
      </c>
      <c r="C755">
        <v>2.75</v>
      </c>
      <c r="O755" s="43">
        <v>2318.4699999999998</v>
      </c>
    </row>
    <row r="756" spans="2:15">
      <c r="B756" s="42">
        <v>45369</v>
      </c>
      <c r="C756">
        <v>2.4900000000000002</v>
      </c>
      <c r="O756" s="43">
        <v>2290.83</v>
      </c>
    </row>
    <row r="757" spans="2:15">
      <c r="B757" s="42">
        <v>45370</v>
      </c>
      <c r="C757">
        <v>4.22</v>
      </c>
      <c r="O757" s="43">
        <v>2257.96</v>
      </c>
    </row>
    <row r="758" spans="2:15">
      <c r="B758" s="42">
        <v>45371</v>
      </c>
      <c r="C758">
        <v>3</v>
      </c>
      <c r="O758" s="43">
        <v>2233.06</v>
      </c>
    </row>
    <row r="759" spans="2:15">
      <c r="B759" s="42">
        <v>45372</v>
      </c>
      <c r="C759">
        <v>3.5</v>
      </c>
      <c r="O759" s="43">
        <v>2233.46</v>
      </c>
    </row>
    <row r="760" spans="2:15">
      <c r="B760" s="42">
        <v>45373</v>
      </c>
      <c r="C760">
        <v>3.51</v>
      </c>
      <c r="O760" s="43">
        <v>2247.6</v>
      </c>
    </row>
    <row r="761" spans="2:15">
      <c r="B761" s="42">
        <v>45377</v>
      </c>
      <c r="C761">
        <v>3.03</v>
      </c>
      <c r="O761" s="43">
        <v>2231.12</v>
      </c>
    </row>
    <row r="762" spans="2:15">
      <c r="B762" s="42">
        <v>45378</v>
      </c>
      <c r="C762">
        <v>2.17</v>
      </c>
      <c r="O762" s="43">
        <v>2230.8200000000002</v>
      </c>
    </row>
    <row r="763" spans="2:15">
      <c r="B763" s="42">
        <v>45379</v>
      </c>
      <c r="C763">
        <v>3.19</v>
      </c>
      <c r="O763" s="43">
        <v>2255.37</v>
      </c>
    </row>
    <row r="764" spans="2:15">
      <c r="B764" s="42">
        <v>45383</v>
      </c>
      <c r="C764">
        <v>1.43</v>
      </c>
      <c r="O764" s="43">
        <v>2276.83</v>
      </c>
    </row>
    <row r="765" spans="2:15">
      <c r="B765" s="42">
        <v>45384</v>
      </c>
      <c r="C765">
        <v>1.22</v>
      </c>
      <c r="O765" s="43">
        <v>2277.63</v>
      </c>
    </row>
    <row r="766" spans="2:15">
      <c r="B766" s="42">
        <v>45385</v>
      </c>
      <c r="C766">
        <v>1.18</v>
      </c>
      <c r="O766" s="43">
        <v>2256.2199999999998</v>
      </c>
    </row>
    <row r="767" spans="2:15">
      <c r="B767" s="42">
        <v>45386</v>
      </c>
      <c r="C767">
        <v>1.89</v>
      </c>
      <c r="O767" s="43">
        <v>2255.9699999999998</v>
      </c>
    </row>
    <row r="768" spans="2:15">
      <c r="B768" s="42">
        <v>45387</v>
      </c>
      <c r="C768">
        <v>1.1499999999999999</v>
      </c>
      <c r="O768" s="43">
        <v>2257.96</v>
      </c>
    </row>
    <row r="769" spans="2:15">
      <c r="B769" s="42">
        <v>45390</v>
      </c>
      <c r="C769">
        <v>1.1299999999999999</v>
      </c>
      <c r="O769" s="43">
        <v>2259.9499999999998</v>
      </c>
    </row>
    <row r="770" spans="2:15">
      <c r="B770" s="42">
        <v>45391</v>
      </c>
      <c r="C770">
        <v>1.19</v>
      </c>
      <c r="O770" s="43">
        <v>2255.17</v>
      </c>
    </row>
    <row r="771" spans="2:15">
      <c r="B771" s="42">
        <v>45392</v>
      </c>
      <c r="C771">
        <v>2.31</v>
      </c>
      <c r="O771" s="43">
        <v>2251.9299999999998</v>
      </c>
    </row>
    <row r="772" spans="2:15">
      <c r="B772" s="42">
        <v>45394</v>
      </c>
      <c r="C772">
        <v>3.39</v>
      </c>
      <c r="O772" s="43">
        <v>2223.4499999999998</v>
      </c>
    </row>
    <row r="773" spans="2:15">
      <c r="B773" s="42">
        <v>45397</v>
      </c>
      <c r="C773">
        <v>4.91</v>
      </c>
      <c r="O773" s="43">
        <v>2185.35</v>
      </c>
    </row>
    <row r="774" spans="2:15">
      <c r="B774" s="42">
        <v>45398</v>
      </c>
      <c r="C774">
        <v>2.82</v>
      </c>
      <c r="O774" s="43">
        <v>2211.9899999999998</v>
      </c>
    </row>
    <row r="775" spans="2:15">
      <c r="B775" s="42">
        <v>45400</v>
      </c>
      <c r="C775">
        <v>3.39</v>
      </c>
      <c r="O775" s="43">
        <v>2206.02</v>
      </c>
    </row>
    <row r="776" spans="2:15">
      <c r="B776" s="42">
        <v>45401</v>
      </c>
      <c r="C776">
        <v>2.34</v>
      </c>
      <c r="O776" s="43">
        <v>2222.75</v>
      </c>
    </row>
    <row r="777" spans="2:15">
      <c r="B777" s="42">
        <v>45404</v>
      </c>
      <c r="C777">
        <v>1.8</v>
      </c>
      <c r="O777" s="43">
        <v>2232.61</v>
      </c>
    </row>
    <row r="778" spans="2:15">
      <c r="B778" s="42">
        <v>45405</v>
      </c>
      <c r="C778">
        <v>1.99</v>
      </c>
      <c r="O778" s="43">
        <v>2253.7800000000002</v>
      </c>
    </row>
    <row r="779" spans="2:15">
      <c r="B779" s="42">
        <v>45406</v>
      </c>
      <c r="C779">
        <v>1.4</v>
      </c>
      <c r="O779" s="43">
        <v>2251.29</v>
      </c>
    </row>
    <row r="780" spans="2:15">
      <c r="B780" s="42">
        <v>45407</v>
      </c>
      <c r="C780">
        <v>4.95</v>
      </c>
      <c r="O780" s="43">
        <v>2222</v>
      </c>
    </row>
    <row r="781" spans="2:15">
      <c r="B781" s="42">
        <v>45408</v>
      </c>
      <c r="C781">
        <v>2.31</v>
      </c>
      <c r="O781" s="43">
        <v>2213.83</v>
      </c>
    </row>
    <row r="782" spans="2:15">
      <c r="B782" s="42">
        <v>45411</v>
      </c>
      <c r="C782">
        <v>1.4</v>
      </c>
      <c r="O782" s="43">
        <v>2217.27</v>
      </c>
    </row>
    <row r="783" spans="2:15">
      <c r="B783" s="42">
        <v>45412</v>
      </c>
      <c r="C783">
        <v>2.12</v>
      </c>
      <c r="O783" s="43">
        <v>2221.6</v>
      </c>
    </row>
    <row r="784" spans="2:15">
      <c r="B784" s="42">
        <v>45414</v>
      </c>
      <c r="C784">
        <v>2.14</v>
      </c>
      <c r="O784" s="43">
        <v>2217.4699999999998</v>
      </c>
    </row>
    <row r="785" spans="2:15">
      <c r="B785" s="42">
        <v>45415</v>
      </c>
      <c r="C785">
        <v>2.6</v>
      </c>
      <c r="O785" s="43">
        <v>2208.2600000000002</v>
      </c>
    </row>
    <row r="786" spans="2:15">
      <c r="B786" s="42">
        <v>45418</v>
      </c>
      <c r="C786">
        <v>1.62</v>
      </c>
      <c r="O786" s="43">
        <v>2247.25</v>
      </c>
    </row>
    <row r="787" spans="2:15">
      <c r="B787" s="42">
        <v>45419</v>
      </c>
      <c r="C787">
        <v>8.2799999999999994</v>
      </c>
      <c r="O787" s="43">
        <v>2369.96</v>
      </c>
    </row>
    <row r="788" spans="2:15">
      <c r="B788" s="42">
        <v>45420</v>
      </c>
      <c r="C788">
        <v>1.81</v>
      </c>
      <c r="O788" s="43">
        <v>2331.7600000000002</v>
      </c>
    </row>
    <row r="789" spans="2:15">
      <c r="B789" s="42">
        <v>45421</v>
      </c>
      <c r="C789">
        <v>1.56</v>
      </c>
      <c r="O789" s="43">
        <v>2316.4299999999998</v>
      </c>
    </row>
    <row r="790" spans="2:15">
      <c r="B790" s="42">
        <v>45422</v>
      </c>
      <c r="C790">
        <v>2.61</v>
      </c>
      <c r="O790" s="43">
        <v>2353.1799999999998</v>
      </c>
    </row>
    <row r="791" spans="2:15">
      <c r="B791" s="42">
        <v>45425</v>
      </c>
      <c r="C791">
        <v>1.17</v>
      </c>
      <c r="O791" s="43">
        <v>2351.29</v>
      </c>
    </row>
    <row r="792" spans="2:15">
      <c r="B792" s="42">
        <v>45426</v>
      </c>
      <c r="C792">
        <v>0.68942999999999999</v>
      </c>
      <c r="O792" s="43">
        <v>2340.2800000000002</v>
      </c>
    </row>
    <row r="793" spans="2:15">
      <c r="B793" s="42">
        <v>45427</v>
      </c>
      <c r="C793">
        <v>0.81228</v>
      </c>
      <c r="O793" s="43">
        <v>2314.09</v>
      </c>
    </row>
    <row r="794" spans="2:15">
      <c r="B794" s="42">
        <v>45428</v>
      </c>
      <c r="C794">
        <v>1.88</v>
      </c>
      <c r="O794" s="43">
        <v>2333.86</v>
      </c>
    </row>
    <row r="795" spans="2:15">
      <c r="B795" s="42">
        <v>45429</v>
      </c>
      <c r="C795">
        <v>1.26</v>
      </c>
      <c r="O795" s="43">
        <v>2311.15</v>
      </c>
    </row>
    <row r="796" spans="2:15">
      <c r="B796" s="42">
        <v>45430</v>
      </c>
      <c r="C796">
        <v>7.3810000000000001E-2</v>
      </c>
      <c r="O796" s="43">
        <v>2327.15</v>
      </c>
    </row>
    <row r="797" spans="2:15">
      <c r="B797" s="42">
        <v>45433</v>
      </c>
      <c r="C797">
        <v>1.66</v>
      </c>
      <c r="O797" s="43">
        <v>2301.54</v>
      </c>
    </row>
    <row r="798" spans="2:15">
      <c r="B798" s="42">
        <v>45434</v>
      </c>
      <c r="C798">
        <v>1.91</v>
      </c>
      <c r="O798" s="43">
        <v>2357.5100000000002</v>
      </c>
    </row>
    <row r="799" spans="2:15">
      <c r="B799" s="42">
        <v>45435</v>
      </c>
      <c r="C799">
        <v>1.61</v>
      </c>
      <c r="O799" s="43">
        <v>2373.0500000000002</v>
      </c>
    </row>
    <row r="800" spans="2:15">
      <c r="B800" s="42">
        <v>45436</v>
      </c>
      <c r="C800">
        <v>0.97409999999999997</v>
      </c>
      <c r="O800" s="43">
        <v>2359.65</v>
      </c>
    </row>
    <row r="801" spans="2:15">
      <c r="B801" s="42">
        <v>45439</v>
      </c>
      <c r="C801">
        <v>1.1200000000000001</v>
      </c>
      <c r="O801" s="43">
        <v>2375.04</v>
      </c>
    </row>
    <row r="802" spans="2:15">
      <c r="B802" s="42">
        <v>45440</v>
      </c>
      <c r="C802">
        <v>1.63</v>
      </c>
      <c r="O802" s="43">
        <v>2386.4499999999998</v>
      </c>
    </row>
    <row r="803" spans="2:15">
      <c r="B803" s="42">
        <v>45441</v>
      </c>
      <c r="C803">
        <v>1.59</v>
      </c>
      <c r="O803" s="43">
        <v>2363.9899999999998</v>
      </c>
    </row>
    <row r="804" spans="2:15">
      <c r="B804" s="42">
        <v>45442</v>
      </c>
      <c r="C804">
        <v>1.84</v>
      </c>
      <c r="O804" s="43">
        <v>2342.0700000000002</v>
      </c>
    </row>
    <row r="805" spans="2:15">
      <c r="B805" s="42">
        <v>45443</v>
      </c>
      <c r="C805">
        <v>5.53</v>
      </c>
      <c r="O805" s="43">
        <v>2319.81</v>
      </c>
    </row>
    <row r="806" spans="2:15">
      <c r="B806" s="42">
        <v>45446</v>
      </c>
      <c r="C806">
        <v>1.21</v>
      </c>
      <c r="O806" s="43">
        <v>2346.56</v>
      </c>
    </row>
    <row r="807" spans="2:15">
      <c r="B807" s="42">
        <v>45447</v>
      </c>
      <c r="C807">
        <v>7.83</v>
      </c>
      <c r="O807" s="43">
        <v>2486.4</v>
      </c>
    </row>
    <row r="808" spans="2:15">
      <c r="B808" s="42">
        <v>45448</v>
      </c>
      <c r="C808">
        <v>11.06</v>
      </c>
      <c r="O808" s="43">
        <v>2592.4299999999998</v>
      </c>
    </row>
    <row r="809" spans="2:15">
      <c r="B809" s="42">
        <v>45449</v>
      </c>
      <c r="C809">
        <v>4.0999999999999996</v>
      </c>
      <c r="O809" s="43">
        <v>2539.4899999999998</v>
      </c>
    </row>
    <row r="810" spans="2:15">
      <c r="B810" s="42">
        <v>45450</v>
      </c>
      <c r="C810">
        <v>3.97</v>
      </c>
      <c r="O810" s="43">
        <v>2567.58</v>
      </c>
    </row>
    <row r="811" spans="2:15">
      <c r="B811" s="42">
        <v>45453</v>
      </c>
      <c r="C811">
        <v>1.45</v>
      </c>
      <c r="O811" s="43">
        <v>2555.1799999999998</v>
      </c>
    </row>
    <row r="812" spans="2:15">
      <c r="B812" s="42">
        <v>45454</v>
      </c>
      <c r="C812">
        <v>1.4</v>
      </c>
      <c r="O812" s="43">
        <v>2546.21</v>
      </c>
    </row>
    <row r="813" spans="2:15">
      <c r="B813" s="42">
        <v>45455</v>
      </c>
      <c r="C813">
        <v>1.75</v>
      </c>
      <c r="O813" s="43">
        <v>2518.67</v>
      </c>
    </row>
    <row r="814" spans="2:15">
      <c r="B814" s="42">
        <v>45456</v>
      </c>
      <c r="C814">
        <v>3.12</v>
      </c>
      <c r="O814" s="43">
        <v>2477.5300000000002</v>
      </c>
    </row>
    <row r="815" spans="2:15">
      <c r="B815" s="42">
        <v>45457</v>
      </c>
      <c r="C815">
        <v>1.73</v>
      </c>
      <c r="O815" s="43">
        <v>2469.92</v>
      </c>
    </row>
    <row r="816" spans="2:15">
      <c r="B816" s="42">
        <v>45461</v>
      </c>
      <c r="C816">
        <v>1.82</v>
      </c>
      <c r="O816" s="43">
        <v>2476.39</v>
      </c>
    </row>
    <row r="817" spans="2:15">
      <c r="B817" s="42">
        <v>45462</v>
      </c>
      <c r="C817">
        <v>0.98697999999999997</v>
      </c>
      <c r="O817" s="43">
        <v>2447.2600000000002</v>
      </c>
    </row>
    <row r="818" spans="2:15">
      <c r="B818" s="42">
        <v>45463</v>
      </c>
      <c r="C818">
        <v>2.16</v>
      </c>
      <c r="O818" s="43">
        <v>2472.36</v>
      </c>
    </row>
    <row r="819" spans="2:15">
      <c r="B819" s="42">
        <v>45464</v>
      </c>
      <c r="C819">
        <v>3.65</v>
      </c>
      <c r="O819" s="43">
        <v>2431.62</v>
      </c>
    </row>
    <row r="820" spans="2:15">
      <c r="B820" s="42">
        <v>45467</v>
      </c>
      <c r="C820">
        <v>1.95</v>
      </c>
      <c r="O820" s="43">
        <v>2432.5100000000002</v>
      </c>
    </row>
    <row r="821" spans="2:15">
      <c r="B821" s="42">
        <v>45468</v>
      </c>
      <c r="C821">
        <v>0.83379000000000003</v>
      </c>
      <c r="O821" s="43">
        <v>2422.5500000000002</v>
      </c>
    </row>
    <row r="822" spans="2:15">
      <c r="B822" s="42">
        <v>45469</v>
      </c>
      <c r="C822">
        <v>1.74</v>
      </c>
      <c r="O822" s="43">
        <v>2435.9</v>
      </c>
    </row>
    <row r="823" spans="2:15">
      <c r="B823" s="42">
        <v>45470</v>
      </c>
      <c r="C823">
        <v>3.4</v>
      </c>
      <c r="O823" s="43">
        <v>2452.39</v>
      </c>
    </row>
    <row r="824" spans="2:15">
      <c r="B824" s="42">
        <v>45471</v>
      </c>
      <c r="C824">
        <v>2.13</v>
      </c>
      <c r="O824" s="43">
        <v>2463.2399999999998</v>
      </c>
    </row>
    <row r="825" spans="2:15">
      <c r="B825" s="42">
        <v>45474</v>
      </c>
      <c r="C825">
        <v>3.31</v>
      </c>
      <c r="O825" s="43">
        <v>2495.17</v>
      </c>
    </row>
    <row r="826" spans="2:15">
      <c r="B826" s="42">
        <v>45475</v>
      </c>
      <c r="C826">
        <v>1.31</v>
      </c>
      <c r="O826" s="43">
        <v>2475.29</v>
      </c>
    </row>
    <row r="827" spans="2:15">
      <c r="B827" s="42">
        <v>45476</v>
      </c>
      <c r="C827">
        <v>1.41</v>
      </c>
      <c r="O827" s="43">
        <v>2500.39</v>
      </c>
    </row>
    <row r="828" spans="2:15">
      <c r="B828" s="42">
        <v>45477</v>
      </c>
      <c r="C828">
        <v>1.98</v>
      </c>
      <c r="O828" s="43">
        <v>2486.0500000000002</v>
      </c>
    </row>
    <row r="829" spans="2:15">
      <c r="B829" s="42">
        <v>45478</v>
      </c>
      <c r="C829">
        <v>1.75</v>
      </c>
      <c r="O829" s="43">
        <v>2536.9</v>
      </c>
    </row>
    <row r="830" spans="2:15">
      <c r="B830" s="42">
        <v>45481</v>
      </c>
      <c r="C830">
        <v>2.82</v>
      </c>
      <c r="O830" s="43">
        <v>2576.89</v>
      </c>
    </row>
    <row r="831" spans="2:15">
      <c r="B831" s="42">
        <v>45482</v>
      </c>
      <c r="C831">
        <v>1.48</v>
      </c>
      <c r="O831" s="43">
        <v>2579.88</v>
      </c>
    </row>
    <row r="832" spans="2:15">
      <c r="B832" s="42">
        <v>45483</v>
      </c>
      <c r="C832">
        <v>1.76</v>
      </c>
      <c r="O832" s="43">
        <v>2600.1</v>
      </c>
    </row>
    <row r="833" spans="2:15">
      <c r="B833" s="42">
        <v>45484</v>
      </c>
      <c r="C833">
        <v>1.43</v>
      </c>
      <c r="O833" s="43">
        <v>2598.5</v>
      </c>
    </row>
    <row r="834" spans="2:15">
      <c r="B834" s="42">
        <v>45485</v>
      </c>
      <c r="C834">
        <v>1.91</v>
      </c>
      <c r="O834" s="43">
        <v>2611.85</v>
      </c>
    </row>
    <row r="835" spans="2:15">
      <c r="B835" s="42">
        <v>45488</v>
      </c>
      <c r="C835">
        <v>0.92010000000000003</v>
      </c>
      <c r="O835" s="43">
        <v>2609.91</v>
      </c>
    </row>
    <row r="836" spans="2:15">
      <c r="B836" s="42">
        <v>45489</v>
      </c>
      <c r="C836">
        <v>3.3</v>
      </c>
      <c r="O836" s="43">
        <v>2677.79</v>
      </c>
    </row>
    <row r="837" spans="2:15">
      <c r="B837" s="42">
        <v>45491</v>
      </c>
      <c r="C837">
        <v>5.57</v>
      </c>
      <c r="O837" s="43">
        <v>2727.54</v>
      </c>
    </row>
    <row r="838" spans="2:15">
      <c r="B838" s="42">
        <v>45492</v>
      </c>
      <c r="C838">
        <v>1.67</v>
      </c>
      <c r="O838" s="43">
        <v>2716.19</v>
      </c>
    </row>
    <row r="839" spans="2:15">
      <c r="B839" s="42">
        <v>45495</v>
      </c>
      <c r="C839">
        <v>1.91</v>
      </c>
      <c r="O839" s="43">
        <v>2724.45</v>
      </c>
    </row>
    <row r="840" spans="2:15">
      <c r="B840" s="42">
        <v>45496</v>
      </c>
      <c r="C840">
        <v>3.91</v>
      </c>
      <c r="O840" s="43">
        <v>2755.38</v>
      </c>
    </row>
    <row r="841" spans="2:15">
      <c r="B841" s="42">
        <v>45497</v>
      </c>
      <c r="C841">
        <v>3.61</v>
      </c>
      <c r="O841" s="43">
        <v>2706.27</v>
      </c>
    </row>
    <row r="842" spans="2:15">
      <c r="B842" s="42">
        <v>45498</v>
      </c>
      <c r="C842">
        <v>2.17</v>
      </c>
      <c r="O842" s="43">
        <v>2696.46</v>
      </c>
    </row>
    <row r="843" spans="2:15">
      <c r="B843" s="42">
        <v>45499</v>
      </c>
      <c r="C843">
        <v>2.14</v>
      </c>
      <c r="O843" s="43">
        <v>2700.3</v>
      </c>
    </row>
    <row r="844" spans="2:15">
      <c r="B844" s="42">
        <v>45502</v>
      </c>
      <c r="C844">
        <v>0.95701000000000003</v>
      </c>
      <c r="O844" s="43">
        <v>2700.85</v>
      </c>
    </row>
    <row r="845" spans="2:15">
      <c r="B845" s="42">
        <v>45503</v>
      </c>
      <c r="C845">
        <v>1.56</v>
      </c>
      <c r="O845" s="43">
        <v>2680.73</v>
      </c>
    </row>
    <row r="846" spans="2:15">
      <c r="B846" s="42">
        <v>45504</v>
      </c>
      <c r="C846">
        <v>1.75</v>
      </c>
      <c r="O846" s="43">
        <v>2694.92</v>
      </c>
    </row>
    <row r="847" spans="2:15">
      <c r="B847" s="42">
        <v>45505</v>
      </c>
      <c r="C847">
        <v>1.89</v>
      </c>
      <c r="O847" s="43">
        <v>2704.78</v>
      </c>
    </row>
    <row r="848" spans="2:15">
      <c r="B848" s="42">
        <v>45506</v>
      </c>
      <c r="C848">
        <v>1.74</v>
      </c>
      <c r="O848" s="43">
        <v>2681.87</v>
      </c>
    </row>
    <row r="849" spans="2:15">
      <c r="B849" s="42">
        <v>45509</v>
      </c>
      <c r="C849">
        <v>3.12</v>
      </c>
      <c r="O849" s="43">
        <v>2705.13</v>
      </c>
    </row>
    <row r="850" spans="2:15">
      <c r="B850" s="42">
        <v>45510</v>
      </c>
      <c r="C850">
        <v>2.2999999999999998</v>
      </c>
      <c r="O850" s="43">
        <v>2739.14</v>
      </c>
    </row>
    <row r="851" spans="2:15">
      <c r="B851" s="42">
        <v>45511</v>
      </c>
      <c r="C851">
        <v>1.71</v>
      </c>
      <c r="O851" s="43">
        <v>2733.17</v>
      </c>
    </row>
    <row r="852" spans="2:15">
      <c r="B852" s="42">
        <v>45512</v>
      </c>
      <c r="C852">
        <v>1.46</v>
      </c>
      <c r="O852" s="43">
        <v>2722.36</v>
      </c>
    </row>
    <row r="853" spans="2:15">
      <c r="B853" s="42">
        <v>45513</v>
      </c>
      <c r="C853">
        <v>1.28</v>
      </c>
      <c r="O853" s="43">
        <v>2736.3</v>
      </c>
    </row>
    <row r="854" spans="2:15">
      <c r="B854" s="42">
        <v>45516</v>
      </c>
      <c r="C854">
        <v>1.3</v>
      </c>
      <c r="O854" s="43">
        <v>2737.8</v>
      </c>
    </row>
    <row r="855" spans="2:15">
      <c r="B855" s="42">
        <v>45517</v>
      </c>
      <c r="C855">
        <v>1.05</v>
      </c>
      <c r="O855" s="43">
        <v>2730.53</v>
      </c>
    </row>
    <row r="856" spans="2:15">
      <c r="B856" s="42">
        <v>45518</v>
      </c>
      <c r="C856">
        <v>0.94699999999999995</v>
      </c>
      <c r="O856" s="43">
        <v>2711.25</v>
      </c>
    </row>
    <row r="857" spans="2:15">
      <c r="B857" s="42">
        <v>45520</v>
      </c>
      <c r="C857">
        <v>1.73</v>
      </c>
      <c r="O857" s="43">
        <v>2737.35</v>
      </c>
    </row>
    <row r="858" spans="2:15">
      <c r="B858" s="42">
        <v>45523</v>
      </c>
      <c r="C858">
        <v>1.1299999999999999</v>
      </c>
      <c r="O858" s="43">
        <v>2731.67</v>
      </c>
    </row>
    <row r="859" spans="2:15">
      <c r="B859" s="42">
        <v>45524</v>
      </c>
      <c r="C859">
        <v>1.1000000000000001</v>
      </c>
      <c r="O859" s="43">
        <v>2740.14</v>
      </c>
    </row>
    <row r="860" spans="2:15">
      <c r="B860" s="42">
        <v>45525</v>
      </c>
      <c r="C860">
        <v>1.42</v>
      </c>
      <c r="O860" s="43">
        <v>2780.13</v>
      </c>
    </row>
    <row r="861" spans="2:15">
      <c r="B861" s="42">
        <v>45526</v>
      </c>
      <c r="C861">
        <v>1.55</v>
      </c>
      <c r="O861" s="43">
        <v>2781.72</v>
      </c>
    </row>
    <row r="862" spans="2:15">
      <c r="B862" s="42">
        <v>45527</v>
      </c>
      <c r="C862">
        <v>2.11</v>
      </c>
      <c r="O862" s="43">
        <v>2804.43</v>
      </c>
    </row>
    <row r="863" spans="2:15">
      <c r="B863" s="42">
        <v>45530</v>
      </c>
      <c r="C863">
        <v>1.1499999999999999</v>
      </c>
      <c r="O863" s="43">
        <v>2809.96</v>
      </c>
    </row>
    <row r="864" spans="2:15">
      <c r="B864" s="42">
        <v>45531</v>
      </c>
      <c r="C864">
        <v>1.36</v>
      </c>
      <c r="O864" s="43">
        <v>2755.93</v>
      </c>
    </row>
    <row r="865" spans="2:15">
      <c r="B865" s="42">
        <v>45532</v>
      </c>
      <c r="C865">
        <v>1.72</v>
      </c>
      <c r="O865" s="43">
        <v>2753.39</v>
      </c>
    </row>
    <row r="866" spans="2:15">
      <c r="B866" s="42">
        <v>45533</v>
      </c>
      <c r="C866">
        <v>2.13</v>
      </c>
      <c r="O866" s="43">
        <v>2774.2</v>
      </c>
    </row>
    <row r="867" spans="2:15">
      <c r="B867" s="42">
        <v>45534</v>
      </c>
      <c r="C867">
        <v>4.03</v>
      </c>
      <c r="O867" s="43">
        <v>2766.98</v>
      </c>
    </row>
    <row r="868" spans="2:15">
      <c r="B868" s="42">
        <v>45537</v>
      </c>
      <c r="C868">
        <v>0.95794999999999997</v>
      </c>
      <c r="O868" s="43">
        <v>2777.99</v>
      </c>
    </row>
    <row r="869" spans="2:15">
      <c r="B869" s="42">
        <v>45538</v>
      </c>
      <c r="C869">
        <v>2.02</v>
      </c>
      <c r="O869" s="43">
        <v>2783.22</v>
      </c>
    </row>
    <row r="870" spans="2:15">
      <c r="B870" s="42">
        <v>45539</v>
      </c>
      <c r="C870">
        <v>1.64</v>
      </c>
      <c r="O870" s="43">
        <v>2829.98</v>
      </c>
    </row>
    <row r="871" spans="2:15">
      <c r="B871" s="42">
        <v>45540</v>
      </c>
      <c r="C871">
        <v>1.95</v>
      </c>
      <c r="O871" s="43">
        <v>2827.19</v>
      </c>
    </row>
    <row r="872" spans="2:15">
      <c r="B872" s="42">
        <v>45541</v>
      </c>
      <c r="C872">
        <v>1.67</v>
      </c>
      <c r="O872" s="43">
        <v>2827.69</v>
      </c>
    </row>
    <row r="873" spans="2:15">
      <c r="B873" s="42">
        <v>45544</v>
      </c>
      <c r="C873">
        <v>3.34</v>
      </c>
      <c r="O873" s="43">
        <v>2910.21</v>
      </c>
    </row>
    <row r="874" spans="2:15">
      <c r="B874" s="42">
        <v>45545</v>
      </c>
      <c r="C874">
        <v>1.54</v>
      </c>
      <c r="O874" s="43">
        <v>2887.1</v>
      </c>
    </row>
    <row r="875" spans="2:15">
      <c r="B875" s="42">
        <v>45546</v>
      </c>
      <c r="C875">
        <v>1.91</v>
      </c>
      <c r="O875" s="43">
        <v>2892.63</v>
      </c>
    </row>
    <row r="876" spans="2:15">
      <c r="B876" s="42">
        <v>45547</v>
      </c>
      <c r="C876">
        <v>2.4500000000000002</v>
      </c>
      <c r="O876" s="43">
        <v>2944.68</v>
      </c>
    </row>
    <row r="877" spans="2:15">
      <c r="B877" s="42">
        <v>45548</v>
      </c>
      <c r="C877">
        <v>1.9</v>
      </c>
      <c r="O877" s="43">
        <v>2921.32</v>
      </c>
    </row>
    <row r="878" spans="2:15">
      <c r="B878" s="42">
        <v>45551</v>
      </c>
      <c r="C878">
        <v>1.49</v>
      </c>
      <c r="O878" s="43">
        <v>2855.73</v>
      </c>
    </row>
    <row r="879" spans="2:15">
      <c r="B879" s="42">
        <v>45552</v>
      </c>
      <c r="C879">
        <v>1.1000000000000001</v>
      </c>
      <c r="O879" s="43">
        <v>2862.1</v>
      </c>
    </row>
    <row r="880" spans="2:15">
      <c r="B880" s="42">
        <v>45553</v>
      </c>
      <c r="C880">
        <v>0.46479999999999999</v>
      </c>
      <c r="O880" s="43">
        <v>2864.44</v>
      </c>
    </row>
    <row r="881" spans="2:15">
      <c r="B881" s="42">
        <v>45554</v>
      </c>
      <c r="C881">
        <v>1.71</v>
      </c>
      <c r="O881" s="43">
        <v>2900.2</v>
      </c>
    </row>
    <row r="882" spans="2:15">
      <c r="B882" s="42">
        <v>45555</v>
      </c>
      <c r="C882">
        <v>3.64</v>
      </c>
      <c r="O882" s="43">
        <v>2965.79</v>
      </c>
    </row>
    <row r="883" spans="2:15">
      <c r="B883" s="42">
        <v>45558</v>
      </c>
      <c r="C883">
        <v>1.3</v>
      </c>
      <c r="O883" s="43">
        <v>3016.54</v>
      </c>
    </row>
    <row r="884" spans="2:15">
      <c r="B884" s="42">
        <v>45559</v>
      </c>
      <c r="C884">
        <v>1.93</v>
      </c>
      <c r="O884" s="43">
        <v>2938.85</v>
      </c>
    </row>
    <row r="885" spans="2:15">
      <c r="B885" s="42">
        <v>45560</v>
      </c>
      <c r="C885">
        <v>1.06</v>
      </c>
      <c r="O885" s="43">
        <v>2937.25</v>
      </c>
    </row>
    <row r="886" spans="2:15">
      <c r="B886" s="42">
        <v>45561</v>
      </c>
      <c r="C886">
        <v>1.9</v>
      </c>
      <c r="O886" s="43">
        <v>2974.26</v>
      </c>
    </row>
    <row r="887" spans="2:15">
      <c r="B887" s="42">
        <v>45562</v>
      </c>
      <c r="C887">
        <v>2.98</v>
      </c>
      <c r="O887" s="43">
        <v>2954.49</v>
      </c>
    </row>
    <row r="888" spans="2:15">
      <c r="B888" s="42">
        <v>45565</v>
      </c>
      <c r="C888">
        <v>1.63</v>
      </c>
      <c r="O888" s="43">
        <v>2946.57</v>
      </c>
    </row>
    <row r="889" spans="2:15">
      <c r="B889" s="42">
        <v>45566</v>
      </c>
      <c r="C889">
        <v>1.18</v>
      </c>
      <c r="O889" s="43">
        <v>2912.15</v>
      </c>
    </row>
    <row r="890" spans="2:15">
      <c r="B890" s="42">
        <v>45568</v>
      </c>
      <c r="C890">
        <v>1.23</v>
      </c>
      <c r="O890" s="43">
        <v>2881.88</v>
      </c>
    </row>
    <row r="891" spans="2:15">
      <c r="B891" s="42">
        <v>45569</v>
      </c>
      <c r="C891">
        <v>2.46</v>
      </c>
      <c r="O891" s="43">
        <v>2837.45</v>
      </c>
    </row>
    <row r="892" spans="2:15">
      <c r="B892" s="42">
        <v>45572</v>
      </c>
      <c r="C892">
        <v>1.28</v>
      </c>
      <c r="O892" s="43">
        <v>2822.16</v>
      </c>
    </row>
    <row r="893" spans="2:15">
      <c r="B893" s="42">
        <v>45573</v>
      </c>
      <c r="C893">
        <v>1.76</v>
      </c>
      <c r="O893" s="43">
        <v>2807.62</v>
      </c>
    </row>
    <row r="894" spans="2:15">
      <c r="B894" s="42">
        <v>45574</v>
      </c>
      <c r="C894">
        <v>1.48</v>
      </c>
      <c r="O894" s="43">
        <v>2757.97</v>
      </c>
    </row>
    <row r="895" spans="2:15">
      <c r="B895" s="42">
        <v>45575</v>
      </c>
      <c r="C895">
        <v>2.0699999999999998</v>
      </c>
      <c r="O895" s="43">
        <v>2743.77</v>
      </c>
    </row>
    <row r="896" spans="2:15">
      <c r="B896" s="42">
        <v>45576</v>
      </c>
      <c r="C896">
        <v>0.67930999999999997</v>
      </c>
      <c r="O896" s="43">
        <v>2772.16</v>
      </c>
    </row>
    <row r="897" spans="2:15">
      <c r="B897" s="42">
        <v>45579</v>
      </c>
      <c r="C897">
        <v>0.87400999999999995</v>
      </c>
      <c r="O897" s="43">
        <v>2778.04</v>
      </c>
    </row>
    <row r="898" spans="2:15">
      <c r="B898" s="42">
        <v>45580</v>
      </c>
      <c r="C898">
        <v>1.08</v>
      </c>
      <c r="O898" s="43">
        <v>2770.42</v>
      </c>
    </row>
    <row r="899" spans="2:15">
      <c r="B899" s="42">
        <v>45581</v>
      </c>
      <c r="C899">
        <v>1.17</v>
      </c>
      <c r="O899" s="43">
        <v>2770.22</v>
      </c>
    </row>
    <row r="900" spans="2:15">
      <c r="B900" s="42">
        <v>45582</v>
      </c>
      <c r="C900">
        <v>1.37</v>
      </c>
      <c r="O900" s="43">
        <v>2727.79</v>
      </c>
    </row>
    <row r="901" spans="2:15">
      <c r="B901" s="42">
        <v>45583</v>
      </c>
      <c r="C901">
        <v>1.1399999999999999</v>
      </c>
      <c r="O901" s="43">
        <v>2706.32</v>
      </c>
    </row>
    <row r="902" spans="2:15">
      <c r="B902" s="42">
        <v>45586</v>
      </c>
      <c r="C902">
        <v>0.79235</v>
      </c>
      <c r="O902" s="43">
        <v>2682.87</v>
      </c>
    </row>
    <row r="903" spans="2:15">
      <c r="B903" s="42">
        <v>45587</v>
      </c>
      <c r="C903">
        <v>1.27</v>
      </c>
      <c r="O903" s="43">
        <v>2671.06</v>
      </c>
    </row>
    <row r="904" spans="2:15">
      <c r="B904" s="42">
        <v>45588</v>
      </c>
      <c r="C904">
        <v>1.43</v>
      </c>
      <c r="O904" s="43">
        <v>2648.75</v>
      </c>
    </row>
    <row r="905" spans="2:15">
      <c r="B905" s="42">
        <v>45589</v>
      </c>
      <c r="C905">
        <v>9.2200000000000006</v>
      </c>
      <c r="O905" s="43">
        <v>2495.17</v>
      </c>
    </row>
    <row r="906" spans="2:15">
      <c r="B906" s="42">
        <v>45590</v>
      </c>
      <c r="C906">
        <v>2.76</v>
      </c>
      <c r="O906" s="43">
        <v>2518.02</v>
      </c>
    </row>
    <row r="907" spans="2:15">
      <c r="B907" s="42">
        <v>45593</v>
      </c>
      <c r="C907">
        <v>0.85282999999999998</v>
      </c>
      <c r="O907" s="43">
        <v>2565.58</v>
      </c>
    </row>
    <row r="908" spans="2:15">
      <c r="B908" s="42">
        <v>45594</v>
      </c>
      <c r="C908">
        <v>1.7</v>
      </c>
      <c r="O908" s="43">
        <v>2537.5500000000002</v>
      </c>
    </row>
    <row r="909" spans="2:15">
      <c r="B909" s="42">
        <v>45595</v>
      </c>
      <c r="C909">
        <v>1.2</v>
      </c>
      <c r="O909" s="43">
        <v>2544.8200000000002</v>
      </c>
    </row>
    <row r="910" spans="2:15">
      <c r="B910" s="42">
        <v>45596</v>
      </c>
      <c r="C910">
        <v>1.9</v>
      </c>
      <c r="O910" s="43">
        <v>2518.2199999999998</v>
      </c>
    </row>
    <row r="911" spans="2:15">
      <c r="B911" s="42">
        <v>45597</v>
      </c>
      <c r="C911">
        <v>0.11853</v>
      </c>
      <c r="O911" s="43">
        <v>2527.44</v>
      </c>
    </row>
    <row r="912" spans="2:15">
      <c r="B912" s="42">
        <v>45600</v>
      </c>
      <c r="C912">
        <v>1.1000000000000001</v>
      </c>
      <c r="O912" s="43">
        <v>2514.79</v>
      </c>
    </row>
    <row r="913" spans="2:15">
      <c r="B913" s="42">
        <v>45601</v>
      </c>
      <c r="C913">
        <v>0.70204999999999995</v>
      </c>
      <c r="O913" s="43">
        <v>2511.35</v>
      </c>
    </row>
    <row r="914" spans="2:15">
      <c r="B914" s="42">
        <v>45602</v>
      </c>
      <c r="C914">
        <v>1.22</v>
      </c>
      <c r="O914" s="43">
        <v>2500.6999999999998</v>
      </c>
    </row>
    <row r="915" spans="2:15">
      <c r="B915" s="42">
        <v>45603</v>
      </c>
      <c r="C915">
        <v>1.32</v>
      </c>
      <c r="O915" s="43">
        <v>2475.5</v>
      </c>
    </row>
    <row r="916" spans="2:15">
      <c r="B916" s="42">
        <v>45604</v>
      </c>
      <c r="C916">
        <v>1.7</v>
      </c>
      <c r="O916" s="43">
        <v>2507.6999999999998</v>
      </c>
    </row>
    <row r="917" spans="2:15">
      <c r="B917" s="42">
        <v>45607</v>
      </c>
      <c r="C917">
        <v>1.18</v>
      </c>
      <c r="O917" s="43">
        <v>2491.0500000000002</v>
      </c>
    </row>
    <row r="918" spans="2:15">
      <c r="B918" s="42">
        <v>45608</v>
      </c>
      <c r="C918">
        <v>1.62</v>
      </c>
      <c r="O918" s="43">
        <v>2461.5</v>
      </c>
    </row>
    <row r="919" spans="2:15">
      <c r="B919" s="42">
        <v>45609</v>
      </c>
      <c r="C919">
        <v>1.26</v>
      </c>
      <c r="O919" s="43">
        <v>2464.9499999999998</v>
      </c>
    </row>
    <row r="920" spans="2:15">
      <c r="B920" s="42">
        <v>45610</v>
      </c>
      <c r="C920">
        <v>2.44</v>
      </c>
      <c r="O920" s="43">
        <v>2389.1999999999998</v>
      </c>
    </row>
    <row r="921" spans="2:15">
      <c r="B921" s="42">
        <v>45614</v>
      </c>
      <c r="C921">
        <v>1.37</v>
      </c>
      <c r="O921" s="43">
        <v>2422.9</v>
      </c>
    </row>
    <row r="922" spans="2:15">
      <c r="B922" s="42">
        <v>45615</v>
      </c>
      <c r="C922">
        <v>1.1299999999999999</v>
      </c>
      <c r="O922" s="43">
        <v>2410.35</v>
      </c>
    </row>
    <row r="923" spans="2:15">
      <c r="B923" s="42">
        <v>45617</v>
      </c>
      <c r="C923">
        <v>1.29</v>
      </c>
      <c r="O923" s="43">
        <v>2382.8000000000002</v>
      </c>
    </row>
    <row r="924" spans="2:15">
      <c r="B924" s="42">
        <v>45618</v>
      </c>
      <c r="C924">
        <v>1.7</v>
      </c>
      <c r="O924" s="43">
        <v>2445.25</v>
      </c>
    </row>
    <row r="925" spans="2:15">
      <c r="B925" s="42">
        <v>45621</v>
      </c>
      <c r="C925">
        <v>4.37</v>
      </c>
      <c r="O925" s="43">
        <v>2471.4499999999998</v>
      </c>
    </row>
    <row r="926" spans="2:15">
      <c r="B926" s="42">
        <v>45622</v>
      </c>
      <c r="C926">
        <v>0.98243999999999998</v>
      </c>
      <c r="O926" s="43">
        <v>2479.1999999999998</v>
      </c>
    </row>
    <row r="927" spans="2:15">
      <c r="B927" s="42">
        <v>45623</v>
      </c>
      <c r="C927">
        <v>0.94823000000000002</v>
      </c>
      <c r="O927" s="43">
        <v>2486.9</v>
      </c>
    </row>
    <row r="928" spans="2:15">
      <c r="B928" s="42">
        <v>45624</v>
      </c>
      <c r="C928">
        <v>2.54</v>
      </c>
      <c r="O928" s="43">
        <v>2462.1999999999998</v>
      </c>
    </row>
    <row r="929" spans="2:15">
      <c r="B929" s="42">
        <v>45625</v>
      </c>
      <c r="C929">
        <v>1.8</v>
      </c>
      <c r="O929" s="43">
        <v>2496.15</v>
      </c>
    </row>
    <row r="930" spans="2:15">
      <c r="B930" s="42">
        <v>45628</v>
      </c>
      <c r="C930">
        <v>1.01</v>
      </c>
      <c r="O930" s="43">
        <v>2479.15</v>
      </c>
    </row>
    <row r="931" spans="2:15">
      <c r="B931" s="42">
        <v>45629</v>
      </c>
      <c r="C931">
        <v>1.64</v>
      </c>
      <c r="O931" s="43">
        <v>2482.85</v>
      </c>
    </row>
    <row r="932" spans="2:15">
      <c r="B932" s="42">
        <v>45630</v>
      </c>
      <c r="C932">
        <v>1.32</v>
      </c>
      <c r="O932" s="43">
        <v>2464.5</v>
      </c>
    </row>
    <row r="933" spans="2:15">
      <c r="B933" s="42">
        <v>45631</v>
      </c>
      <c r="C933">
        <v>2.0699999999999998</v>
      </c>
      <c r="O933" s="43">
        <v>2494.6</v>
      </c>
    </row>
    <row r="934" spans="2:15">
      <c r="B934" s="42">
        <v>45632</v>
      </c>
      <c r="C934">
        <v>1.31</v>
      </c>
      <c r="O934" s="43">
        <v>2483.8000000000002</v>
      </c>
    </row>
    <row r="935" spans="2:15">
      <c r="B935" s="42">
        <v>45635</v>
      </c>
      <c r="C935">
        <v>3.39</v>
      </c>
      <c r="O935" s="43">
        <v>2400.75</v>
      </c>
    </row>
    <row r="936" spans="2:15">
      <c r="B936" s="42">
        <v>45636</v>
      </c>
      <c r="C936">
        <v>2.06</v>
      </c>
      <c r="O936" s="43">
        <v>2397.35</v>
      </c>
    </row>
    <row r="937" spans="2:15">
      <c r="B937" s="42">
        <v>45637</v>
      </c>
      <c r="C937">
        <v>1.72</v>
      </c>
      <c r="O937" s="43">
        <v>2401.35</v>
      </c>
    </row>
    <row r="938" spans="2:15">
      <c r="B938" s="42">
        <v>45638</v>
      </c>
      <c r="C938">
        <v>3.23</v>
      </c>
      <c r="O938" s="43">
        <v>2344.9499999999998</v>
      </c>
    </row>
    <row r="939" spans="2:15">
      <c r="B939" s="42">
        <v>45639</v>
      </c>
      <c r="C939">
        <v>2.2599999999999998</v>
      </c>
      <c r="O939" s="43">
        <v>2390.1</v>
      </c>
    </row>
    <row r="940" spans="2:15">
      <c r="B940" s="42">
        <v>45642</v>
      </c>
      <c r="C940">
        <v>1.25</v>
      </c>
      <c r="O940" s="43">
        <v>2366.15</v>
      </c>
    </row>
    <row r="941" spans="2:15">
      <c r="B941" s="42">
        <v>45643</v>
      </c>
      <c r="C941">
        <v>2.13</v>
      </c>
      <c r="O941" s="43">
        <v>2363.25</v>
      </c>
    </row>
    <row r="942" spans="2:15">
      <c r="B942" s="42">
        <v>45644</v>
      </c>
      <c r="C942">
        <v>0.98839999999999995</v>
      </c>
      <c r="O942" s="43">
        <v>2359.1999999999998</v>
      </c>
    </row>
    <row r="943" spans="2:15">
      <c r="B943" s="42">
        <v>45645</v>
      </c>
      <c r="C943">
        <v>1.66</v>
      </c>
      <c r="O943" s="43">
        <v>2359.85</v>
      </c>
    </row>
    <row r="944" spans="2:15">
      <c r="B944" s="42">
        <v>45646</v>
      </c>
      <c r="C944">
        <v>2.0699999999999998</v>
      </c>
      <c r="O944" s="43">
        <v>2333.9</v>
      </c>
    </row>
    <row r="945" spans="2:15">
      <c r="B945" s="42">
        <v>45649</v>
      </c>
      <c r="C945">
        <v>1.07</v>
      </c>
      <c r="O945" s="43">
        <v>2338.9</v>
      </c>
    </row>
    <row r="946" spans="2:15">
      <c r="B946" s="42">
        <v>45650</v>
      </c>
      <c r="C946">
        <v>0.68364999999999998</v>
      </c>
      <c r="O946" s="43">
        <v>2335.5500000000002</v>
      </c>
    </row>
    <row r="947" spans="2:15">
      <c r="B947" s="42">
        <v>45652</v>
      </c>
      <c r="C947">
        <v>1.03</v>
      </c>
      <c r="O947" s="43">
        <v>2332.75</v>
      </c>
    </row>
    <row r="948" spans="2:15">
      <c r="B948" s="42">
        <v>45653</v>
      </c>
      <c r="C948">
        <v>0.55681999999999998</v>
      </c>
      <c r="O948" s="43">
        <v>2341.25</v>
      </c>
    </row>
    <row r="949" spans="2:15">
      <c r="B949" s="42">
        <v>45656</v>
      </c>
      <c r="C949">
        <v>0.92418</v>
      </c>
      <c r="O949" s="43">
        <v>2343.5</v>
      </c>
    </row>
    <row r="950" spans="2:15">
      <c r="B950" s="42">
        <v>45657</v>
      </c>
      <c r="C950">
        <v>1.88</v>
      </c>
      <c r="O950" s="43">
        <v>2326.85</v>
      </c>
    </row>
    <row r="951" spans="2:15">
      <c r="B951" s="42">
        <v>45658</v>
      </c>
      <c r="C951">
        <v>0.55989</v>
      </c>
      <c r="O951" s="43">
        <v>2322.1</v>
      </c>
    </row>
    <row r="952" spans="2:15">
      <c r="B952" s="42">
        <v>45659</v>
      </c>
      <c r="C952">
        <v>1.65</v>
      </c>
      <c r="O952" s="43">
        <v>2370</v>
      </c>
    </row>
    <row r="953" spans="2:15">
      <c r="B953" s="42">
        <v>45660</v>
      </c>
      <c r="C953">
        <v>1.27</v>
      </c>
      <c r="O953" s="43">
        <v>2406.25</v>
      </c>
    </row>
    <row r="954" spans="2:15">
      <c r="B954" s="42">
        <v>45663</v>
      </c>
      <c r="C954">
        <v>0.90042</v>
      </c>
      <c r="O954" s="43">
        <v>2376.1999999999998</v>
      </c>
    </row>
    <row r="955" spans="2:15">
      <c r="B955" s="42">
        <v>45664</v>
      </c>
      <c r="C955">
        <v>0.92276999999999998</v>
      </c>
      <c r="O955" s="43">
        <v>2390.8000000000002</v>
      </c>
    </row>
    <row r="956" spans="2:15">
      <c r="B956" s="42">
        <v>45665</v>
      </c>
      <c r="C956">
        <v>0.95335000000000003</v>
      </c>
      <c r="O956" s="43">
        <v>2401</v>
      </c>
    </row>
    <row r="957" spans="2:15">
      <c r="B957" s="42">
        <v>45666</v>
      </c>
      <c r="C957">
        <v>2.4300000000000002</v>
      </c>
      <c r="O957" s="43">
        <v>2435.4</v>
      </c>
    </row>
    <row r="958" spans="2:15">
      <c r="B958" s="42">
        <v>45667</v>
      </c>
      <c r="C958">
        <v>1.65</v>
      </c>
      <c r="O958" s="43">
        <v>2442.0500000000002</v>
      </c>
    </row>
    <row r="959" spans="2:15">
      <c r="B959" s="42">
        <v>45670</v>
      </c>
      <c r="C959">
        <v>2.6</v>
      </c>
      <c r="O959" s="43">
        <v>2451</v>
      </c>
    </row>
    <row r="960" spans="2:15">
      <c r="B960" s="42">
        <v>45671</v>
      </c>
      <c r="C960">
        <v>2.0499999999999998</v>
      </c>
      <c r="O960" s="43">
        <v>2367.9499999999998</v>
      </c>
    </row>
    <row r="961" spans="2:15">
      <c r="B961" s="42">
        <v>45672</v>
      </c>
      <c r="C961">
        <v>1.22</v>
      </c>
      <c r="O961" s="43">
        <v>2373</v>
      </c>
    </row>
    <row r="962" spans="2:15">
      <c r="B962" s="42">
        <v>45673</v>
      </c>
      <c r="C962">
        <v>2.76</v>
      </c>
      <c r="O962" s="43">
        <v>2345</v>
      </c>
    </row>
    <row r="963" spans="2:15">
      <c r="B963" s="42">
        <v>45674</v>
      </c>
      <c r="C963">
        <v>1.33</v>
      </c>
      <c r="O963" s="43">
        <v>2354</v>
      </c>
    </row>
    <row r="964" spans="2:15">
      <c r="B964" s="42">
        <v>45677</v>
      </c>
      <c r="C964">
        <v>1.38</v>
      </c>
      <c r="O964" s="43">
        <v>2345.1999999999998</v>
      </c>
    </row>
    <row r="965" spans="2:15">
      <c r="B965" s="42">
        <v>45678</v>
      </c>
      <c r="C965">
        <v>1.84</v>
      </c>
      <c r="O965" s="43">
        <v>2340.5</v>
      </c>
    </row>
    <row r="966" spans="2:15">
      <c r="B966" s="42">
        <v>45679</v>
      </c>
      <c r="C966">
        <v>2.66</v>
      </c>
      <c r="O966" s="43">
        <v>2342.9499999999998</v>
      </c>
    </row>
    <row r="967" spans="2:15">
      <c r="B967" s="42">
        <v>45680</v>
      </c>
      <c r="C967">
        <v>3.41</v>
      </c>
      <c r="O967" s="43">
        <v>2321.6999999999998</v>
      </c>
    </row>
    <row r="968" spans="2:15">
      <c r="B968" s="42">
        <v>45681</v>
      </c>
      <c r="C968">
        <v>1.69</v>
      </c>
      <c r="O968" s="43">
        <v>2368.1</v>
      </c>
    </row>
    <row r="969" spans="2:15">
      <c r="B969" s="42">
        <v>45684</v>
      </c>
      <c r="C969">
        <v>2.48</v>
      </c>
      <c r="O969" s="43">
        <v>2392.85</v>
      </c>
    </row>
    <row r="970" spans="2:15">
      <c r="B970" s="42">
        <v>45685</v>
      </c>
      <c r="C970">
        <v>1.89</v>
      </c>
      <c r="O970" s="43">
        <v>2388.85</v>
      </c>
    </row>
    <row r="971" spans="2:15">
      <c r="B971" s="42">
        <v>45686</v>
      </c>
      <c r="C971">
        <v>0.69957999999999998</v>
      </c>
      <c r="O971" s="43">
        <v>2383.9499999999998</v>
      </c>
    </row>
    <row r="972" spans="2:15">
      <c r="B972" s="42">
        <v>45687</v>
      </c>
      <c r="C972">
        <v>1.42</v>
      </c>
      <c r="O972" s="43">
        <v>2408.75</v>
      </c>
    </row>
    <row r="973" spans="2:15">
      <c r="B973" s="42">
        <v>45688</v>
      </c>
      <c r="C973">
        <v>2.12</v>
      </c>
      <c r="O973" s="43">
        <v>2468.8000000000002</v>
      </c>
    </row>
    <row r="974" spans="2:15">
      <c r="B974" s="42">
        <v>45689</v>
      </c>
      <c r="C974">
        <v>2.97</v>
      </c>
      <c r="O974" s="43">
        <v>2506.0500000000002</v>
      </c>
    </row>
    <row r="975" spans="2:15">
      <c r="B975" s="42">
        <v>45691</v>
      </c>
      <c r="C975">
        <v>2.5299999999999998</v>
      </c>
      <c r="O975" s="43">
        <v>2441.9499999999998</v>
      </c>
    </row>
    <row r="976" spans="2:15">
      <c r="B976" s="42">
        <v>45692</v>
      </c>
      <c r="C976">
        <v>1.99</v>
      </c>
      <c r="O976" s="43">
        <v>2438.0500000000002</v>
      </c>
    </row>
    <row r="977" spans="2:15">
      <c r="B977" s="42">
        <v>45693</v>
      </c>
      <c r="C977">
        <v>1.36</v>
      </c>
      <c r="O977" s="43">
        <v>2391.0500000000002</v>
      </c>
    </row>
    <row r="978" spans="2:15">
      <c r="B978" s="42">
        <v>45694</v>
      </c>
      <c r="C978">
        <v>1.1299999999999999</v>
      </c>
      <c r="O978" s="43">
        <v>2372.6999999999998</v>
      </c>
    </row>
    <row r="979" spans="2:15">
      <c r="B979" s="42">
        <v>45695</v>
      </c>
      <c r="C979">
        <v>0.85560000000000003</v>
      </c>
      <c r="O979" s="43">
        <v>2363.85</v>
      </c>
    </row>
    <row r="980" spans="2:15">
      <c r="B980" s="42">
        <v>45698</v>
      </c>
      <c r="C980">
        <v>1.33</v>
      </c>
      <c r="O980" s="43">
        <v>2361.4499999999998</v>
      </c>
    </row>
    <row r="981" spans="2:15">
      <c r="B981" s="42">
        <v>45699</v>
      </c>
      <c r="C981">
        <v>1.39</v>
      </c>
      <c r="O981" s="43">
        <v>2315.25</v>
      </c>
    </row>
    <row r="982" spans="2:15">
      <c r="B982" s="42">
        <v>45700</v>
      </c>
      <c r="C982">
        <v>1.34</v>
      </c>
      <c r="O982" s="43">
        <v>2332.5</v>
      </c>
    </row>
    <row r="983" spans="2:15">
      <c r="B983" s="42">
        <v>45701</v>
      </c>
      <c r="C983">
        <v>1.33</v>
      </c>
      <c r="O983" s="43">
        <v>2321.5</v>
      </c>
    </row>
    <row r="984" spans="2:15">
      <c r="B984" s="42">
        <v>45702</v>
      </c>
      <c r="C984">
        <v>1.1399999999999999</v>
      </c>
      <c r="O984" s="43">
        <v>2318.35</v>
      </c>
    </row>
    <row r="985" spans="2:15">
      <c r="B985" s="42">
        <v>45705</v>
      </c>
      <c r="C985">
        <v>1.41</v>
      </c>
      <c r="O985" s="43">
        <v>2329.4</v>
      </c>
    </row>
    <row r="986" spans="2:15">
      <c r="B986" s="42">
        <v>45706</v>
      </c>
      <c r="C986">
        <v>1.04</v>
      </c>
      <c r="O986" s="43">
        <v>2296</v>
      </c>
    </row>
    <row r="987" spans="2:15">
      <c r="B987" s="42">
        <v>45707</v>
      </c>
      <c r="C987">
        <v>1.52</v>
      </c>
      <c r="O987" s="43">
        <v>2250.4</v>
      </c>
    </row>
    <row r="988" spans="2:15">
      <c r="B988" s="42">
        <v>45708</v>
      </c>
      <c r="C988">
        <v>2.21</v>
      </c>
      <c r="O988" s="43">
        <v>2248.0500000000002</v>
      </c>
    </row>
    <row r="989" spans="2:15">
      <c r="B989" s="42">
        <v>45709</v>
      </c>
      <c r="C989">
        <v>1.78</v>
      </c>
      <c r="O989" s="43">
        <v>2241.65</v>
      </c>
    </row>
    <row r="990" spans="2:15">
      <c r="B990" s="42">
        <v>45712</v>
      </c>
      <c r="C990">
        <v>1.63</v>
      </c>
      <c r="O990" s="43">
        <v>2241.4499999999998</v>
      </c>
    </row>
    <row r="991" spans="2:15">
      <c r="B991" s="42">
        <v>45713</v>
      </c>
      <c r="C991">
        <v>1.99</v>
      </c>
      <c r="O991" s="43">
        <v>2259.3000000000002</v>
      </c>
    </row>
    <row r="992" spans="2:15">
      <c r="B992" s="42">
        <v>45715</v>
      </c>
      <c r="C992">
        <v>1.7</v>
      </c>
      <c r="O992" s="43">
        <v>2244.9499999999998</v>
      </c>
    </row>
    <row r="993" spans="2:15">
      <c r="B993" s="42">
        <v>45716</v>
      </c>
      <c r="C993">
        <v>3.68</v>
      </c>
      <c r="O993" s="43">
        <v>2190.25</v>
      </c>
    </row>
    <row r="994" spans="2:15">
      <c r="B994" s="42">
        <v>45719</v>
      </c>
      <c r="C994">
        <v>1.31</v>
      </c>
      <c r="O994" s="43">
        <v>2176.85</v>
      </c>
    </row>
    <row r="995" spans="2:15">
      <c r="B995" s="42">
        <v>45720</v>
      </c>
      <c r="C995">
        <v>1.8</v>
      </c>
      <c r="O995" s="43">
        <v>2157.35</v>
      </c>
    </row>
    <row r="996" spans="2:15">
      <c r="B996" s="42">
        <v>45721</v>
      </c>
      <c r="C996">
        <v>1.1499999999999999</v>
      </c>
      <c r="O996" s="43">
        <v>2170.4499999999998</v>
      </c>
    </row>
    <row r="997" spans="2:15">
      <c r="B997" s="42">
        <v>45722</v>
      </c>
      <c r="C997">
        <v>1.86</v>
      </c>
      <c r="O997" s="43">
        <v>2218.9499999999998</v>
      </c>
    </row>
    <row r="998" spans="2:15">
      <c r="B998" s="42">
        <v>45723</v>
      </c>
      <c r="C998">
        <v>1.74</v>
      </c>
      <c r="O998" s="43">
        <v>2204.5500000000002</v>
      </c>
    </row>
    <row r="999" spans="2:15">
      <c r="B999" s="42">
        <v>45726</v>
      </c>
      <c r="C999">
        <v>1.24</v>
      </c>
      <c r="O999" s="43">
        <v>2247.75</v>
      </c>
    </row>
    <row r="1000" spans="2:15">
      <c r="B1000" s="42">
        <v>45727</v>
      </c>
      <c r="C1000">
        <v>1.33</v>
      </c>
      <c r="O1000" s="43">
        <v>2216.9499999999998</v>
      </c>
    </row>
    <row r="1001" spans="2:15">
      <c r="B1001" s="42">
        <v>45728</v>
      </c>
      <c r="C1001">
        <v>1.53</v>
      </c>
      <c r="O1001" s="43">
        <v>2192.9</v>
      </c>
    </row>
    <row r="1002" spans="2:15">
      <c r="B1002" s="42">
        <v>45729</v>
      </c>
      <c r="C1002">
        <v>1.85</v>
      </c>
      <c r="O1002" s="43">
        <v>2174.8000000000002</v>
      </c>
    </row>
    <row r="1003" spans="2:15">
      <c r="B1003" s="42">
        <v>45733</v>
      </c>
      <c r="C1003">
        <v>1.1100000000000001</v>
      </c>
      <c r="O1003" s="43">
        <v>2171.25</v>
      </c>
    </row>
    <row r="1004" spans="2:15">
      <c r="B1004" s="42">
        <v>45734</v>
      </c>
      <c r="C1004">
        <v>1.48</v>
      </c>
      <c r="O1004" s="43">
        <v>2201.4</v>
      </c>
    </row>
    <row r="1005" spans="2:15">
      <c r="B1005" s="42">
        <v>45735</v>
      </c>
      <c r="C1005">
        <v>1.34</v>
      </c>
      <c r="O1005" s="43">
        <v>2200.0500000000002</v>
      </c>
    </row>
    <row r="1006" spans="2:15">
      <c r="B1006" s="42">
        <v>45736</v>
      </c>
      <c r="C1006">
        <v>1.43</v>
      </c>
      <c r="O1006" s="43">
        <v>2242.4</v>
      </c>
    </row>
    <row r="1007" spans="2:15">
      <c r="B1007" s="42">
        <v>45737</v>
      </c>
      <c r="C1007">
        <v>2.15</v>
      </c>
      <c r="O1007" s="43">
        <v>2246.1999999999998</v>
      </c>
    </row>
    <row r="1008" spans="2:15">
      <c r="B1008" s="42">
        <v>45740</v>
      </c>
      <c r="C1008">
        <v>1.45</v>
      </c>
      <c r="O1008" s="43">
        <v>2256.1999999999998</v>
      </c>
    </row>
    <row r="1009" spans="2:15">
      <c r="B1009" s="42">
        <v>45741</v>
      </c>
      <c r="C1009">
        <v>2.23</v>
      </c>
      <c r="O1009" s="43">
        <v>2271.3000000000002</v>
      </c>
    </row>
    <row r="1010" spans="2:15">
      <c r="B1010" s="42">
        <v>45742</v>
      </c>
      <c r="C1010">
        <v>1.42</v>
      </c>
      <c r="O1010" s="43">
        <v>2245.9499999999998</v>
      </c>
    </row>
    <row r="1011" spans="2:15">
      <c r="B1011" s="42">
        <v>45743</v>
      </c>
      <c r="C1011">
        <v>3.75</v>
      </c>
      <c r="O1011" s="43">
        <v>2244.65</v>
      </c>
    </row>
    <row r="1012" spans="2:15">
      <c r="B1012" s="42">
        <v>45744</v>
      </c>
      <c r="C1012">
        <v>2.2799999999999998</v>
      </c>
      <c r="O1012" s="43">
        <v>2258.85</v>
      </c>
    </row>
    <row r="1013" spans="2:15">
      <c r="B1013" s="42">
        <v>45748</v>
      </c>
      <c r="C1013">
        <v>2.5</v>
      </c>
      <c r="O1013" s="43">
        <v>2233.85</v>
      </c>
    </row>
    <row r="1014" spans="2:15">
      <c r="B1014" s="42">
        <v>45749</v>
      </c>
      <c r="C1014">
        <v>1.35</v>
      </c>
      <c r="O1014" s="43">
        <v>2237.9</v>
      </c>
    </row>
    <row r="1015" spans="2:15">
      <c r="B1015" s="42">
        <v>45750</v>
      </c>
      <c r="C1015">
        <v>1.31</v>
      </c>
      <c r="O1015" s="43">
        <v>2244.5500000000002</v>
      </c>
    </row>
    <row r="1016" spans="2:15">
      <c r="B1016" s="42">
        <v>45751</v>
      </c>
      <c r="C1016">
        <v>1.1200000000000001</v>
      </c>
      <c r="O1016" s="43">
        <v>2244.5500000000002</v>
      </c>
    </row>
    <row r="1017" spans="2:15">
      <c r="B1017" s="42">
        <v>45754</v>
      </c>
      <c r="C1017">
        <v>3.44</v>
      </c>
      <c r="O1017" s="43">
        <v>2249.4</v>
      </c>
    </row>
    <row r="1018" spans="2:15">
      <c r="B1018" s="42">
        <v>45755</v>
      </c>
      <c r="C1018">
        <v>2.77</v>
      </c>
      <c r="O1018" s="43">
        <v>2289.25</v>
      </c>
    </row>
    <row r="1019" spans="2:15">
      <c r="B1019" s="42">
        <v>45756</v>
      </c>
      <c r="C1019">
        <v>2.99</v>
      </c>
      <c r="O1019" s="43">
        <v>2350</v>
      </c>
    </row>
    <row r="1020" spans="2:15">
      <c r="B1020" s="42">
        <v>45758</v>
      </c>
      <c r="C1020">
        <v>3.84</v>
      </c>
      <c r="O1020" s="43">
        <v>2366.15</v>
      </c>
    </row>
    <row r="1021" spans="2:15">
      <c r="B1021" s="42">
        <v>45762</v>
      </c>
      <c r="C1021">
        <v>3.04</v>
      </c>
      <c r="O1021" s="43">
        <v>2361.5</v>
      </c>
    </row>
    <row r="1022" spans="2:15">
      <c r="B1022" s="42">
        <v>45763</v>
      </c>
      <c r="C1022">
        <v>1.1299999999999999</v>
      </c>
      <c r="O1022" s="43">
        <v>2366.6</v>
      </c>
    </row>
    <row r="1023" spans="2:15">
      <c r="B1023" s="42">
        <v>45764</v>
      </c>
      <c r="C1023">
        <v>1.96</v>
      </c>
      <c r="O1023" s="43">
        <v>2375</v>
      </c>
    </row>
    <row r="1024" spans="2:15">
      <c r="B1024" s="42">
        <v>45768</v>
      </c>
      <c r="C1024">
        <v>1.48</v>
      </c>
      <c r="O1024" s="43">
        <v>2351</v>
      </c>
    </row>
    <row r="1025" spans="2:15">
      <c r="B1025" s="42">
        <v>45769</v>
      </c>
      <c r="C1025">
        <v>2.35</v>
      </c>
      <c r="O1025" s="43">
        <v>2398.6999999999998</v>
      </c>
    </row>
    <row r="1026" spans="2:15">
      <c r="B1026" s="42">
        <v>45770</v>
      </c>
      <c r="C1026">
        <v>2.23</v>
      </c>
      <c r="O1026" s="43">
        <v>2423.8000000000002</v>
      </c>
    </row>
    <row r="1027" spans="2:15">
      <c r="B1027" s="42">
        <v>45771</v>
      </c>
      <c r="C1027">
        <v>7.07</v>
      </c>
      <c r="O1027" s="43">
        <v>2325.3000000000002</v>
      </c>
    </row>
    <row r="1028" spans="2:15">
      <c r="B1028" s="42">
        <v>45772</v>
      </c>
      <c r="C1028">
        <v>2.86</v>
      </c>
      <c r="O1028" s="43">
        <v>2332.1999999999998</v>
      </c>
    </row>
    <row r="1029" spans="2:15">
      <c r="B1029" s="42">
        <v>45775</v>
      </c>
      <c r="C1029">
        <v>1.56</v>
      </c>
      <c r="O1029" s="43">
        <v>2318.6</v>
      </c>
    </row>
    <row r="1030" spans="2:15">
      <c r="B1030" s="42">
        <v>45776</v>
      </c>
      <c r="C1030">
        <v>1.9</v>
      </c>
      <c r="O1030" s="43">
        <v>2321.6999999999998</v>
      </c>
    </row>
    <row r="1031" spans="2:15">
      <c r="B1031" s="42">
        <v>45777</v>
      </c>
      <c r="C1031">
        <v>2.08</v>
      </c>
      <c r="O1031" s="43">
        <v>2342.1</v>
      </c>
    </row>
    <row r="1032" spans="2:15">
      <c r="B1032" s="42">
        <v>45779</v>
      </c>
      <c r="C1032">
        <v>1.95</v>
      </c>
      <c r="O1032" s="43">
        <v>2323.9</v>
      </c>
    </row>
    <row r="1033" spans="2:15">
      <c r="B1033" s="42">
        <v>45782</v>
      </c>
      <c r="C1033">
        <v>2.0699999999999998</v>
      </c>
      <c r="O1033" s="43">
        <v>2348.6</v>
      </c>
    </row>
    <row r="1034" spans="2:15">
      <c r="B1034" s="42">
        <v>45783</v>
      </c>
      <c r="C1034">
        <v>1.89</v>
      </c>
      <c r="O1034" s="43">
        <v>2381.8000000000002</v>
      </c>
    </row>
    <row r="1035" spans="2:15">
      <c r="B1035" s="42">
        <v>45784</v>
      </c>
      <c r="C1035">
        <v>1.61</v>
      </c>
      <c r="O1035" s="43">
        <v>2370.8000000000002</v>
      </c>
    </row>
    <row r="1036" spans="2:15">
      <c r="B1036" s="42">
        <v>45785</v>
      </c>
      <c r="C1036">
        <v>2.3199999999999998</v>
      </c>
      <c r="O1036" s="43">
        <v>2354.9</v>
      </c>
    </row>
    <row r="1037" spans="2:15">
      <c r="B1037" s="42">
        <v>45786</v>
      </c>
      <c r="C1037">
        <v>1.81</v>
      </c>
      <c r="O1037" s="43">
        <v>2332.9</v>
      </c>
    </row>
    <row r="1038" spans="2:15">
      <c r="B1038" s="42">
        <v>45789</v>
      </c>
      <c r="C1038">
        <v>1.27</v>
      </c>
      <c r="O1038" s="43">
        <v>2382.5</v>
      </c>
    </row>
    <row r="1039" spans="2:15">
      <c r="B1039" s="42">
        <v>45790</v>
      </c>
      <c r="C1039">
        <v>1.93</v>
      </c>
      <c r="O1039" s="43">
        <v>2360</v>
      </c>
    </row>
    <row r="1040" spans="2:15">
      <c r="B1040" s="42">
        <v>45791</v>
      </c>
      <c r="C1040">
        <v>1.57</v>
      </c>
      <c r="O1040" s="43">
        <v>2350.5</v>
      </c>
    </row>
    <row r="1041" spans="2:15">
      <c r="B1041" s="42">
        <v>45792</v>
      </c>
      <c r="C1041">
        <v>3.24</v>
      </c>
      <c r="O1041" s="43">
        <v>2355.1999999999998</v>
      </c>
    </row>
    <row r="1042" spans="2:15">
      <c r="B1042" s="42">
        <v>45793</v>
      </c>
      <c r="C1042">
        <v>1.47</v>
      </c>
      <c r="O1042" s="43">
        <v>2381.4</v>
      </c>
    </row>
    <row r="1043" spans="2:15">
      <c r="B1043" s="42">
        <v>45796</v>
      </c>
      <c r="C1043">
        <v>0.93666000000000005</v>
      </c>
      <c r="O1043" s="43">
        <v>2382.6999999999998</v>
      </c>
    </row>
    <row r="1044" spans="2:15">
      <c r="B1044" s="42">
        <v>45797</v>
      </c>
      <c r="C1044">
        <v>1.62</v>
      </c>
      <c r="O1044" s="43">
        <v>2341.1</v>
      </c>
    </row>
    <row r="1045" spans="2:15">
      <c r="B1045" s="42">
        <v>45798</v>
      </c>
      <c r="C1045">
        <v>1.57</v>
      </c>
      <c r="O1045" s="43">
        <v>2363.9</v>
      </c>
    </row>
    <row r="1046" spans="2:15">
      <c r="B1046" s="42">
        <v>45799</v>
      </c>
      <c r="C1046">
        <v>2.42</v>
      </c>
      <c r="O1046" s="43">
        <v>2330.6999999999998</v>
      </c>
    </row>
    <row r="1047" spans="2:15">
      <c r="B1047" s="42">
        <v>45800</v>
      </c>
      <c r="C1047">
        <v>0.84411999999999998</v>
      </c>
      <c r="O1047" s="43">
        <v>2359.1999999999998</v>
      </c>
    </row>
    <row r="1048" spans="2:15">
      <c r="B1048" s="42">
        <v>45803</v>
      </c>
      <c r="C1048">
        <v>0.89261999999999997</v>
      </c>
      <c r="O1048" s="43">
        <v>2394.1</v>
      </c>
    </row>
    <row r="1049" spans="2:15">
      <c r="B1049" s="42">
        <v>45804</v>
      </c>
      <c r="C1049">
        <v>1.87</v>
      </c>
      <c r="O1049" s="43">
        <v>2380.1999999999998</v>
      </c>
    </row>
    <row r="1050" spans="2:15">
      <c r="B1050" s="42">
        <v>45805</v>
      </c>
      <c r="C1050">
        <v>0.89751999999999998</v>
      </c>
      <c r="O1050" s="43">
        <v>2362</v>
      </c>
    </row>
    <row r="1051" spans="2:15">
      <c r="B1051" s="42">
        <v>45806</v>
      </c>
      <c r="C1051">
        <v>1.1100000000000001</v>
      </c>
      <c r="O1051" s="43">
        <v>2366.6999999999998</v>
      </c>
    </row>
    <row r="1052" spans="2:15">
      <c r="B1052" s="42">
        <v>45807</v>
      </c>
      <c r="C1052">
        <v>3.29</v>
      </c>
      <c r="O1052" s="43">
        <v>2348.3000000000002</v>
      </c>
    </row>
    <row r="1053" spans="2:15">
      <c r="B1053" s="42">
        <v>45810</v>
      </c>
      <c r="C1053">
        <v>1.18</v>
      </c>
      <c r="O1053" s="43">
        <v>2371.6</v>
      </c>
    </row>
    <row r="1054" spans="2:15">
      <c r="B1054" s="42">
        <v>45811</v>
      </c>
      <c r="C1054">
        <v>1.64</v>
      </c>
      <c r="O1054" s="43">
        <v>2352.3000000000002</v>
      </c>
    </row>
    <row r="1055" spans="2:15">
      <c r="B1055" s="42">
        <v>45812</v>
      </c>
      <c r="C1055">
        <v>3.29</v>
      </c>
      <c r="O1055" s="43">
        <v>2364.5</v>
      </c>
    </row>
    <row r="1056" spans="2:15">
      <c r="B1056" s="42">
        <v>45813</v>
      </c>
      <c r="C1056">
        <v>1.79</v>
      </c>
      <c r="O1056" s="43">
        <v>2376.4</v>
      </c>
    </row>
    <row r="1057" spans="2:15">
      <c r="B1057" s="42">
        <v>45814</v>
      </c>
      <c r="C1057">
        <v>0.99748999999999999</v>
      </c>
      <c r="O1057" s="43">
        <v>2389.8000000000002</v>
      </c>
    </row>
    <row r="1058" spans="2:15">
      <c r="B1058" s="42">
        <v>45817</v>
      </c>
      <c r="C1058">
        <v>1.29</v>
      </c>
      <c r="O1058" s="43">
        <v>2393.1999999999998</v>
      </c>
    </row>
    <row r="1059" spans="2:15">
      <c r="B1059" s="42">
        <v>45818</v>
      </c>
      <c r="C1059">
        <v>1.78</v>
      </c>
      <c r="O1059" s="43">
        <v>2395.1999999999998</v>
      </c>
    </row>
    <row r="1060" spans="2:15">
      <c r="B1060" s="42">
        <v>45819</v>
      </c>
      <c r="C1060">
        <v>1.98</v>
      </c>
      <c r="O1060" s="43">
        <v>2376.4</v>
      </c>
    </row>
    <row r="1061" spans="2:15">
      <c r="B1061" s="42">
        <v>45820</v>
      </c>
      <c r="C1061">
        <v>3.34</v>
      </c>
      <c r="O1061" s="43">
        <v>2332.6999999999998</v>
      </c>
    </row>
    <row r="1062" spans="2:15">
      <c r="B1062" s="42">
        <v>45821</v>
      </c>
      <c r="C1062">
        <v>1.74</v>
      </c>
      <c r="O1062" s="43">
        <v>2319</v>
      </c>
    </row>
    <row r="1063" spans="2:15">
      <c r="B1063" s="42">
        <v>45824</v>
      </c>
      <c r="C1063">
        <v>1.1100000000000001</v>
      </c>
      <c r="O1063" s="43">
        <v>2327.4</v>
      </c>
    </row>
    <row r="1064" spans="2:15">
      <c r="B1064" s="42">
        <v>45825</v>
      </c>
      <c r="C1064">
        <v>1.1200000000000001</v>
      </c>
      <c r="O1064" s="43">
        <v>2328.6</v>
      </c>
    </row>
    <row r="1065" spans="2:15">
      <c r="B1065" s="42">
        <v>45826</v>
      </c>
      <c r="C1065">
        <v>2.06</v>
      </c>
      <c r="O1065" s="43">
        <v>2297.3000000000002</v>
      </c>
    </row>
    <row r="1066" spans="2:15">
      <c r="B1066" s="42">
        <v>45827</v>
      </c>
      <c r="C1066">
        <v>1.21</v>
      </c>
      <c r="O1066" s="43">
        <v>2294.1999999999998</v>
      </c>
    </row>
    <row r="1067" spans="2:15">
      <c r="B1067" s="42">
        <v>45828</v>
      </c>
      <c r="C1067">
        <v>2.69</v>
      </c>
      <c r="O1067" s="43">
        <v>2306.1999999999998</v>
      </c>
    </row>
    <row r="1068" spans="2:15">
      <c r="B1068" s="42">
        <v>45831</v>
      </c>
      <c r="C1068">
        <v>0.84286000000000005</v>
      </c>
      <c r="O1068" s="43">
        <v>2275.1</v>
      </c>
    </row>
    <row r="1069" spans="2:15">
      <c r="B1069" s="42">
        <v>45832</v>
      </c>
      <c r="C1069">
        <v>2.44</v>
      </c>
      <c r="O1069" s="43">
        <v>2263.1</v>
      </c>
    </row>
    <row r="1070" spans="2:15">
      <c r="B1070" s="42">
        <v>45833</v>
      </c>
      <c r="C1070">
        <v>1.05</v>
      </c>
      <c r="O1070" s="43">
        <v>2278.6999999999998</v>
      </c>
    </row>
    <row r="1071" spans="2:15">
      <c r="B1071" s="42">
        <v>45834</v>
      </c>
      <c r="C1071">
        <v>1.87</v>
      </c>
      <c r="O1071" s="43">
        <v>2280.8000000000002</v>
      </c>
    </row>
    <row r="1072" spans="2:15">
      <c r="B1072" s="42">
        <v>45835</v>
      </c>
      <c r="C1072">
        <v>1.05</v>
      </c>
      <c r="O1072" s="43">
        <v>2306.9</v>
      </c>
    </row>
    <row r="1073" spans="2:15">
      <c r="B1073" s="42">
        <v>45838</v>
      </c>
      <c r="C1073">
        <v>1.4</v>
      </c>
      <c r="O1073" s="43">
        <v>2294.6</v>
      </c>
    </row>
    <row r="1074" spans="2:15">
      <c r="B1074" s="42">
        <v>45839</v>
      </c>
      <c r="C1074">
        <v>0.75990999999999997</v>
      </c>
      <c r="O1074" s="43">
        <v>2295.5</v>
      </c>
    </row>
    <row r="1075" spans="2:15">
      <c r="B1075" s="42">
        <v>45840</v>
      </c>
      <c r="C1075">
        <v>1.1299999999999999</v>
      </c>
      <c r="O1075" s="43">
        <v>2307.1</v>
      </c>
    </row>
    <row r="1076" spans="2:15">
      <c r="B1076" s="42">
        <v>45841</v>
      </c>
      <c r="C1076">
        <v>1.06</v>
      </c>
      <c r="O1076" s="43">
        <v>2313.4</v>
      </c>
    </row>
    <row r="1077" spans="2:15">
      <c r="B1077" s="42">
        <v>45842</v>
      </c>
      <c r="C1077">
        <v>1.24</v>
      </c>
      <c r="O1077" s="43">
        <v>2339.3000000000002</v>
      </c>
    </row>
    <row r="1078" spans="2:15">
      <c r="B1078" s="42">
        <v>45845</v>
      </c>
      <c r="C1078">
        <v>2.7</v>
      </c>
      <c r="O1078" s="43">
        <v>2410.4</v>
      </c>
    </row>
    <row r="1079" spans="2:15">
      <c r="B1079" s="42">
        <v>45846</v>
      </c>
      <c r="C1079">
        <v>1.47</v>
      </c>
      <c r="O1079" s="43">
        <v>2392.6999999999998</v>
      </c>
    </row>
    <row r="1080" spans="2:15">
      <c r="B1080" s="42">
        <v>45847</v>
      </c>
      <c r="C1080">
        <v>1.74</v>
      </c>
      <c r="O1080" s="43">
        <v>2423.4</v>
      </c>
    </row>
    <row r="1081" spans="2:15">
      <c r="B1081" s="42">
        <v>45848</v>
      </c>
      <c r="C1081">
        <v>1.05</v>
      </c>
      <c r="O1081" s="43">
        <v>2408.4</v>
      </c>
    </row>
    <row r="1082" spans="2:15">
      <c r="B1082" s="42">
        <v>45849</v>
      </c>
      <c r="C1082">
        <v>7.24</v>
      </c>
      <c r="O1082" s="43">
        <v>2519.6</v>
      </c>
    </row>
    <row r="1083" spans="2:15">
      <c r="B1083" s="42">
        <v>45852</v>
      </c>
      <c r="C1083">
        <v>2.4300000000000002</v>
      </c>
      <c r="O1083" s="43">
        <v>2516.6</v>
      </c>
    </row>
    <row r="1084" spans="2:15">
      <c r="B1084" s="42">
        <v>45853</v>
      </c>
      <c r="C1084">
        <v>1.7</v>
      </c>
      <c r="O1084" s="43">
        <v>2526.9</v>
      </c>
    </row>
    <row r="1085" spans="2:15">
      <c r="B1085" s="42">
        <v>45854</v>
      </c>
      <c r="C1085">
        <v>1.28</v>
      </c>
      <c r="O1085" s="43">
        <v>2517.6</v>
      </c>
    </row>
    <row r="1086" spans="2:15">
      <c r="B1086" s="42">
        <v>45855</v>
      </c>
      <c r="C1086">
        <v>0.80747000000000002</v>
      </c>
      <c r="O1086" s="43">
        <v>2509.8000000000002</v>
      </c>
    </row>
    <row r="1087" spans="2:15">
      <c r="B1087" s="42">
        <v>45856</v>
      </c>
      <c r="C1087">
        <v>0.77110999999999996</v>
      </c>
      <c r="O1087" s="43">
        <v>2489.6</v>
      </c>
    </row>
    <row r="1088" spans="2:15">
      <c r="B1088" s="42">
        <v>45859</v>
      </c>
      <c r="C1088">
        <v>1.17</v>
      </c>
      <c r="O1088" s="43">
        <v>2464.9</v>
      </c>
    </row>
    <row r="1089" spans="2:15">
      <c r="B1089" s="42">
        <v>45860</v>
      </c>
      <c r="C1089">
        <v>0.86163000000000001</v>
      </c>
      <c r="O1089" s="43">
        <v>2479.6999999999998</v>
      </c>
    </row>
    <row r="1090" spans="2:15">
      <c r="B1090" s="42">
        <v>45861</v>
      </c>
      <c r="C1090">
        <v>1.32</v>
      </c>
      <c r="O1090" s="43">
        <v>2450.4</v>
      </c>
    </row>
    <row r="1091" spans="2:15">
      <c r="B1091" s="42">
        <v>45862</v>
      </c>
      <c r="C1091">
        <v>0.69398000000000004</v>
      </c>
      <c r="O1091" s="43">
        <v>2437.8000000000002</v>
      </c>
    </row>
    <row r="1092" spans="2:15">
      <c r="B1092" s="42">
        <v>45863</v>
      </c>
      <c r="C1092">
        <v>0.76939000000000002</v>
      </c>
      <c r="O1092" s="43">
        <v>2415.4</v>
      </c>
    </row>
    <row r="1093" spans="2:15">
      <c r="B1093" s="42">
        <v>45866</v>
      </c>
      <c r="C1093">
        <v>0.98799999999999999</v>
      </c>
      <c r="O1093" s="43">
        <v>2441.6</v>
      </c>
    </row>
    <row r="1094" spans="2:15">
      <c r="B1094" s="42">
        <v>45867</v>
      </c>
      <c r="C1094">
        <v>0.73228000000000004</v>
      </c>
      <c r="O1094" s="43">
        <v>2453.6</v>
      </c>
    </row>
    <row r="1095" spans="2:15">
      <c r="B1095" s="42">
        <v>45868</v>
      </c>
      <c r="C1095">
        <v>1.22</v>
      </c>
      <c r="O1095" s="43">
        <v>2437.4</v>
      </c>
    </row>
    <row r="1096" spans="2:15">
      <c r="B1096" s="42">
        <v>45869</v>
      </c>
      <c r="C1096">
        <v>5.51</v>
      </c>
      <c r="O1096" s="43">
        <v>2521.1999999999998</v>
      </c>
    </row>
    <row r="1097" spans="2:15">
      <c r="B1097" s="42">
        <v>45870</v>
      </c>
      <c r="C1097">
        <v>4.26</v>
      </c>
      <c r="O1097" s="43">
        <v>2553.6999999999998</v>
      </c>
    </row>
    <row r="1098" spans="2:15">
      <c r="B1098" s="42">
        <v>45873</v>
      </c>
      <c r="C1098">
        <v>1.29</v>
      </c>
      <c r="O1098" s="43">
        <v>2543.6999999999998</v>
      </c>
    </row>
    <row r="1099" spans="2:15">
      <c r="B1099" s="42">
        <v>45874</v>
      </c>
      <c r="C1099">
        <v>0.75636000000000003</v>
      </c>
      <c r="O1099" s="43">
        <v>2534.6999999999998</v>
      </c>
    </row>
    <row r="1100" spans="2:15">
      <c r="B1100" s="42">
        <v>45875</v>
      </c>
      <c r="C1100">
        <v>0.88549</v>
      </c>
      <c r="O1100" s="43">
        <v>2535.6</v>
      </c>
    </row>
    <row r="1101" spans="2:15">
      <c r="B1101" s="42">
        <v>45876</v>
      </c>
      <c r="C1101">
        <v>0.84714999999999996</v>
      </c>
      <c r="O1101" s="43">
        <v>2517.5</v>
      </c>
    </row>
    <row r="1102" spans="2:15">
      <c r="B1102" s="42">
        <v>45877</v>
      </c>
      <c r="C1102">
        <v>0.83979000000000004</v>
      </c>
      <c r="O1102" s="43">
        <v>2498.6</v>
      </c>
    </row>
    <row r="1103" spans="2:15">
      <c r="B1103" s="42">
        <v>45880</v>
      </c>
      <c r="C1103">
        <v>0.99243999999999999</v>
      </c>
      <c r="O1103" s="43">
        <v>2518.4</v>
      </c>
    </row>
    <row r="1104" spans="2:15">
      <c r="B1104" s="42">
        <v>45881</v>
      </c>
      <c r="C1104">
        <v>1.41</v>
      </c>
      <c r="O1104" s="43">
        <v>2483.8000000000002</v>
      </c>
    </row>
    <row r="1105" spans="2:15">
      <c r="B1105" s="42">
        <v>45882</v>
      </c>
      <c r="C1105">
        <v>0.9698</v>
      </c>
      <c r="O1105" s="43">
        <v>2495.1</v>
      </c>
    </row>
    <row r="1106" spans="2:15">
      <c r="B1106" s="42">
        <v>45883</v>
      </c>
      <c r="C1106">
        <v>1.1000000000000001</v>
      </c>
      <c r="O1106" s="43">
        <v>2480.6</v>
      </c>
    </row>
    <row r="1107" spans="2:15">
      <c r="B1107" s="42">
        <v>45887</v>
      </c>
      <c r="C1107">
        <v>3.09</v>
      </c>
      <c r="O1107" s="43">
        <v>2568.1</v>
      </c>
    </row>
    <row r="1108" spans="2:15">
      <c r="B1108" s="42">
        <v>45888</v>
      </c>
      <c r="C1108">
        <v>1.4</v>
      </c>
      <c r="O1108" s="43">
        <v>2604.8000000000002</v>
      </c>
    </row>
    <row r="1109" spans="2:15">
      <c r="B1109" s="42">
        <v>45889</v>
      </c>
      <c r="C1109">
        <v>3.16</v>
      </c>
      <c r="O1109" s="43">
        <v>2669.8</v>
      </c>
    </row>
    <row r="1110" spans="2:15">
      <c r="B1110" s="42">
        <v>45890</v>
      </c>
      <c r="C1110">
        <v>2.2400000000000002</v>
      </c>
      <c r="O1110" s="43">
        <v>2648</v>
      </c>
    </row>
    <row r="1111" spans="2:15">
      <c r="B1111" s="42">
        <v>45891</v>
      </c>
      <c r="C1111">
        <v>1.22</v>
      </c>
      <c r="O1111" s="43">
        <v>2629.9</v>
      </c>
    </row>
    <row r="1112" spans="2:15">
      <c r="B1112" s="42">
        <v>45894</v>
      </c>
      <c r="C1112">
        <v>0.66759999999999997</v>
      </c>
      <c r="O1112" s="43">
        <v>2631.6</v>
      </c>
    </row>
    <row r="1113" spans="2:15">
      <c r="B1113" s="42">
        <v>45895</v>
      </c>
      <c r="C1113">
        <v>4.3499999999999996</v>
      </c>
      <c r="O1113" s="43">
        <v>2692.6</v>
      </c>
    </row>
    <row r="1114" spans="2:15">
      <c r="B1114" s="42">
        <v>45897</v>
      </c>
      <c r="C1114">
        <v>3.2</v>
      </c>
      <c r="O1114" s="43">
        <v>2654.4</v>
      </c>
    </row>
    <row r="1115" spans="2:15">
      <c r="B1115" s="42">
        <v>45898</v>
      </c>
      <c r="C1115">
        <v>1.97</v>
      </c>
      <c r="O1115" s="43">
        <v>2659.8</v>
      </c>
    </row>
    <row r="1116" spans="2:15">
      <c r="B1116" s="42">
        <v>45901</v>
      </c>
      <c r="C1116">
        <v>1.1000000000000001</v>
      </c>
      <c r="O1116" s="43">
        <v>2649.5</v>
      </c>
    </row>
    <row r="1117" spans="2:15">
      <c r="B1117" s="42">
        <v>45902</v>
      </c>
      <c r="C1117">
        <v>1.53</v>
      </c>
      <c r="O1117" s="43">
        <v>2677</v>
      </c>
    </row>
    <row r="1118" spans="2:15">
      <c r="B1118" s="42">
        <v>45903</v>
      </c>
      <c r="C1118">
        <v>1.01</v>
      </c>
      <c r="O1118" s="43">
        <v>2664.7</v>
      </c>
    </row>
    <row r="1119" spans="2:15">
      <c r="B1119" s="42">
        <v>45904</v>
      </c>
      <c r="C1119">
        <v>2.4900000000000002</v>
      </c>
      <c r="O1119" s="43">
        <v>2666.6</v>
      </c>
    </row>
    <row r="1120" spans="2:15">
      <c r="B1120" s="42">
        <v>45905</v>
      </c>
      <c r="C1120">
        <v>0.94488000000000005</v>
      </c>
      <c r="O1120" s="43">
        <v>2633.4</v>
      </c>
    </row>
    <row r="1121" spans="2:15">
      <c r="B1121" s="42">
        <v>45908</v>
      </c>
      <c r="C1121">
        <v>0.90341000000000005</v>
      </c>
      <c r="O1121" s="43">
        <v>2623.9</v>
      </c>
    </row>
    <row r="1122" spans="2:15">
      <c r="B1122" s="42">
        <v>45909</v>
      </c>
      <c r="C1122">
        <v>1.61</v>
      </c>
      <c r="O1122" s="43">
        <v>2642</v>
      </c>
    </row>
    <row r="1123" spans="2:15">
      <c r="B1123" s="42">
        <v>45910</v>
      </c>
      <c r="C1123">
        <v>1.03</v>
      </c>
      <c r="O1123" s="43">
        <v>2643.5</v>
      </c>
    </row>
    <row r="1124" spans="2:15">
      <c r="B1124" s="42">
        <v>45911</v>
      </c>
      <c r="C1124">
        <v>1.21</v>
      </c>
      <c r="O1124" s="43">
        <v>2622</v>
      </c>
    </row>
    <row r="1125" spans="2:15">
      <c r="B1125" s="42">
        <v>45912</v>
      </c>
      <c r="C1125">
        <v>1.37</v>
      </c>
      <c r="O1125" s="43">
        <v>2580.5</v>
      </c>
    </row>
    <row r="1126" spans="2:15">
      <c r="B1126" s="42">
        <v>45915</v>
      </c>
      <c r="C1126">
        <v>0.75275000000000003</v>
      </c>
      <c r="O1126" s="43">
        <v>2581</v>
      </c>
    </row>
    <row r="1127" spans="2:15">
      <c r="B1127" s="42">
        <v>45916</v>
      </c>
      <c r="C1127">
        <v>1.04</v>
      </c>
      <c r="O1127" s="43">
        <v>2580.9</v>
      </c>
    </row>
    <row r="1128" spans="2:15">
      <c r="B1128" s="42">
        <v>45917</v>
      </c>
      <c r="C1128">
        <v>0.97024999999999995</v>
      </c>
      <c r="O1128" s="43">
        <v>2569.6999999999998</v>
      </c>
    </row>
    <row r="1129" spans="2:15">
      <c r="B1129" s="42">
        <v>45918</v>
      </c>
      <c r="C1129">
        <v>1.55</v>
      </c>
      <c r="O1129" s="43">
        <v>2586.8000000000002</v>
      </c>
    </row>
    <row r="1130" spans="2:15">
      <c r="B1130" s="42">
        <v>45919</v>
      </c>
      <c r="C1130">
        <v>2.21</v>
      </c>
      <c r="O1130" s="43">
        <v>2559.6</v>
      </c>
    </row>
    <row r="1131" spans="2:15">
      <c r="B1131" s="42">
        <v>45922</v>
      </c>
      <c r="C1131">
        <v>1.17</v>
      </c>
      <c r="O1131" s="43">
        <v>2572.1999999999998</v>
      </c>
    </row>
    <row r="1132" spans="2:15">
      <c r="B1132" s="42">
        <v>45923</v>
      </c>
      <c r="C1132">
        <v>1.43</v>
      </c>
      <c r="O1132" s="43">
        <v>2522.1999999999998</v>
      </c>
    </row>
    <row r="1133" spans="2:15">
      <c r="B1133" s="42">
        <v>45924</v>
      </c>
      <c r="C1133">
        <v>1.88</v>
      </c>
      <c r="O1133" s="43">
        <v>2549.5</v>
      </c>
    </row>
    <row r="1134" spans="2:15">
      <c r="B1134" s="42">
        <v>45925</v>
      </c>
      <c r="C1134">
        <v>1.62</v>
      </c>
      <c r="O1134" s="43">
        <v>2538.3000000000002</v>
      </c>
    </row>
    <row r="1135" spans="2:15">
      <c r="B1135" s="42">
        <v>45926</v>
      </c>
      <c r="C1135">
        <v>0.88561000000000001</v>
      </c>
      <c r="O1135" s="43">
        <v>2511.8000000000002</v>
      </c>
    </row>
    <row r="1136" spans="2:15">
      <c r="B1136" s="42">
        <v>45929</v>
      </c>
      <c r="C1136">
        <v>2.4</v>
      </c>
      <c r="O1136" s="43">
        <v>2497.9</v>
      </c>
    </row>
    <row r="1137" spans="2:15">
      <c r="B1137" s="42">
        <v>45930</v>
      </c>
      <c r="C1137">
        <v>1.68</v>
      </c>
      <c r="O1137" s="43">
        <v>2514.4</v>
      </c>
    </row>
    <row r="1138" spans="2:15">
      <c r="B1138" s="42">
        <v>45931</v>
      </c>
      <c r="C1138">
        <v>1.48</v>
      </c>
      <c r="O1138" s="43">
        <v>2536.1999999999998</v>
      </c>
    </row>
    <row r="1139" spans="2:15">
      <c r="B1139" s="42">
        <v>45933</v>
      </c>
      <c r="C1139">
        <v>1.24</v>
      </c>
      <c r="O1139" s="43">
        <v>2544.9</v>
      </c>
    </row>
    <row r="1140" spans="2:15">
      <c r="B1140" s="42">
        <v>45936</v>
      </c>
      <c r="C1140">
        <v>0.81891999999999998</v>
      </c>
      <c r="O1140" s="43">
        <v>2541.8000000000002</v>
      </c>
    </row>
    <row r="1141" spans="2:15">
      <c r="B1141" s="42">
        <v>45937</v>
      </c>
      <c r="C1141">
        <v>1.29</v>
      </c>
      <c r="O1141" s="43">
        <v>2517.1999999999998</v>
      </c>
    </row>
    <row r="1142" spans="2:15">
      <c r="B1142" s="42">
        <v>45938</v>
      </c>
      <c r="C1142">
        <v>1.23</v>
      </c>
      <c r="O1142" s="43">
        <v>2500.1</v>
      </c>
    </row>
    <row r="1143" spans="2:15">
      <c r="B1143" s="42">
        <v>45939</v>
      </c>
      <c r="C1143">
        <v>1.26</v>
      </c>
      <c r="O1143" s="43">
        <v>2517.6</v>
      </c>
    </row>
    <row r="1144" spans="2:15">
      <c r="B1144" s="42">
        <v>45940</v>
      </c>
      <c r="C1144">
        <v>1.02</v>
      </c>
      <c r="O1144" s="43">
        <v>2528.9</v>
      </c>
    </row>
    <row r="1145" spans="2:15">
      <c r="B1145" s="42">
        <v>45943</v>
      </c>
      <c r="C1145">
        <v>1.1100000000000001</v>
      </c>
      <c r="O1145" s="43">
        <v>2492.8000000000002</v>
      </c>
    </row>
    <row r="1146" spans="2:15">
      <c r="B1146" s="42">
        <v>45944</v>
      </c>
      <c r="C1146">
        <v>1.46</v>
      </c>
      <c r="O1146" s="43">
        <v>2502.3000000000002</v>
      </c>
    </row>
    <row r="1147" spans="2:15">
      <c r="B1147" s="42">
        <v>45945</v>
      </c>
      <c r="C1147">
        <v>0.88107000000000002</v>
      </c>
      <c r="O1147" s="43">
        <v>2519</v>
      </c>
    </row>
    <row r="1148" spans="2:15">
      <c r="B1148" s="42">
        <v>45946</v>
      </c>
      <c r="C1148">
        <v>1.45</v>
      </c>
      <c r="O1148" s="43">
        <v>2561.5</v>
      </c>
    </row>
    <row r="1149" spans="2:15">
      <c r="B1149" s="42">
        <v>45947</v>
      </c>
      <c r="C1149">
        <v>2.0499999999999998</v>
      </c>
      <c r="O1149" s="43">
        <v>2603.6999999999998</v>
      </c>
    </row>
    <row r="1150" spans="2:15">
      <c r="B1150" s="42">
        <v>45950</v>
      </c>
      <c r="C1150">
        <v>1.01</v>
      </c>
      <c r="O1150" s="43">
        <v>2594.4</v>
      </c>
    </row>
    <row r="1151" spans="2:15">
      <c r="B1151" s="42">
        <v>45951</v>
      </c>
      <c r="C1151">
        <v>8.2019999999999996E-2</v>
      </c>
      <c r="O1151" s="43">
        <v>2591.6999999999998</v>
      </c>
    </row>
    <row r="1152" spans="2:15">
      <c r="B1152" s="42">
        <v>45953</v>
      </c>
      <c r="C1152">
        <v>3.39</v>
      </c>
      <c r="O1152" s="43">
        <v>2601.6</v>
      </c>
    </row>
    <row r="1153" spans="2:15">
      <c r="B1153" s="42">
        <v>45954</v>
      </c>
      <c r="C1153">
        <v>3.11</v>
      </c>
      <c r="O1153" s="43">
        <v>2516.4</v>
      </c>
    </row>
    <row r="1154" spans="2:15">
      <c r="B1154" s="42">
        <v>45957</v>
      </c>
      <c r="C1154">
        <v>2.13</v>
      </c>
      <c r="I1154">
        <v>10000000</v>
      </c>
      <c r="O1154" s="43">
        <v>2511.8000000000002</v>
      </c>
    </row>
    <row r="1155" spans="2:15">
      <c r="B1155" s="42">
        <v>45958</v>
      </c>
      <c r="C1155">
        <v>2.29</v>
      </c>
      <c r="O1155" s="43">
        <v>2497.1</v>
      </c>
    </row>
    <row r="1156" spans="2:15">
      <c r="B1156" s="42">
        <v>45959</v>
      </c>
      <c r="C1156">
        <v>1.87</v>
      </c>
      <c r="O1156" s="43">
        <v>2488.1</v>
      </c>
    </row>
    <row r="1157" spans="2:15" ht="15" thickBot="1">
      <c r="B1157" s="42">
        <v>45960</v>
      </c>
      <c r="C1157">
        <v>1.2</v>
      </c>
      <c r="I1157">
        <v>100</v>
      </c>
      <c r="O1157" s="43">
        <v>2469.6</v>
      </c>
    </row>
    <row r="1158" spans="2:15" ht="15" thickBot="1">
      <c r="B1158" s="42">
        <v>45961</v>
      </c>
      <c r="C1158">
        <v>1.4</v>
      </c>
      <c r="G1158" s="47" t="s">
        <v>122</v>
      </c>
      <c r="H1158" s="48" t="s">
        <v>123</v>
      </c>
      <c r="I1158" s="48" t="s">
        <v>124</v>
      </c>
      <c r="J1158" s="49" t="s">
        <v>136</v>
      </c>
      <c r="O1158" s="43">
        <v>2465.5</v>
      </c>
    </row>
    <row r="1159" spans="2:15">
      <c r="B1159" s="42">
        <v>45964</v>
      </c>
      <c r="C1159">
        <v>1.05</v>
      </c>
      <c r="G1159" s="42" t="s">
        <v>125</v>
      </c>
      <c r="H1159" s="54">
        <v>111.4370148</v>
      </c>
      <c r="I1159" s="53">
        <v>0.4743</v>
      </c>
      <c r="J1159" s="54">
        <f>H1159*2262.65</f>
        <v>252142.96153722002</v>
      </c>
      <c r="O1159" s="43">
        <v>2460</v>
      </c>
    </row>
    <row r="1160" spans="2:15">
      <c r="B1160" s="42">
        <v>45965</v>
      </c>
      <c r="C1160">
        <v>1.25</v>
      </c>
      <c r="G1160" s="42" t="s">
        <v>126</v>
      </c>
      <c r="H1160" s="54">
        <v>15.743276099999999</v>
      </c>
      <c r="I1160" s="53">
        <v>6.7000000000000004E-2</v>
      </c>
      <c r="J1160" s="54">
        <f t="shared" ref="J1160:J1168" si="0">H1160*2262.65</f>
        <v>35621.523667665002</v>
      </c>
      <c r="O1160" s="43">
        <v>2445.6999999999998</v>
      </c>
    </row>
    <row r="1161" spans="2:15">
      <c r="B1161" s="42">
        <v>45967</v>
      </c>
      <c r="C1161">
        <v>1.33</v>
      </c>
      <c r="G1161" s="42" t="s">
        <v>127</v>
      </c>
      <c r="H1161" s="54">
        <v>10.673946000000001</v>
      </c>
      <c r="I1161" s="53">
        <v>4.5400000000000003E-2</v>
      </c>
      <c r="J1161" s="54">
        <f t="shared" si="0"/>
        <v>24151.403916900003</v>
      </c>
      <c r="O1161" s="43">
        <v>2436</v>
      </c>
    </row>
    <row r="1162" spans="2:15">
      <c r="B1162" s="42">
        <v>45968</v>
      </c>
      <c r="C1162">
        <v>0.81789999999999996</v>
      </c>
      <c r="G1162" s="42" t="s">
        <v>128</v>
      </c>
      <c r="H1162" s="54">
        <v>6.8784320000000001</v>
      </c>
      <c r="I1162" s="53">
        <v>2.9300000000000003E-2</v>
      </c>
      <c r="J1162" s="54">
        <f>H1162*2262.65</f>
        <v>15563.4841648</v>
      </c>
      <c r="O1162" s="43">
        <v>2414</v>
      </c>
    </row>
    <row r="1163" spans="2:15">
      <c r="B1163" s="42">
        <v>45971</v>
      </c>
      <c r="C1163">
        <v>0.78056000000000003</v>
      </c>
      <c r="G1163" s="42" t="s">
        <v>129</v>
      </c>
      <c r="H1163" s="54">
        <v>6.0086250000000003</v>
      </c>
      <c r="I1163" s="53">
        <v>2.5600000000000001E-2</v>
      </c>
      <c r="J1163" s="54">
        <f t="shared" si="0"/>
        <v>13595.415356250001</v>
      </c>
      <c r="O1163" s="43">
        <v>2408.8000000000002</v>
      </c>
    </row>
    <row r="1164" spans="2:15">
      <c r="B1164" s="42">
        <v>45972</v>
      </c>
      <c r="C1164">
        <v>1.42</v>
      </c>
      <c r="G1164" s="42" t="s">
        <v>130</v>
      </c>
      <c r="H1164" s="54">
        <v>5.2747200000000003</v>
      </c>
      <c r="I1164" s="53">
        <v>2.2400000000000003E-2</v>
      </c>
      <c r="J1164" s="54">
        <f t="shared" si="0"/>
        <v>11934.845208000001</v>
      </c>
      <c r="O1164" s="43">
        <v>2427.5</v>
      </c>
    </row>
    <row r="1165" spans="2:15">
      <c r="B1165" s="42">
        <v>45973</v>
      </c>
      <c r="C1165">
        <v>1.68</v>
      </c>
      <c r="G1165" s="42" t="s">
        <v>131</v>
      </c>
      <c r="H1165" s="54">
        <v>3.8897572999999999</v>
      </c>
      <c r="I1165" s="53">
        <v>1.66E-2</v>
      </c>
      <c r="J1165" s="54">
        <f t="shared" si="0"/>
        <v>8801.1593548450001</v>
      </c>
      <c r="O1165" s="43">
        <v>2424.5</v>
      </c>
    </row>
    <row r="1166" spans="2:15">
      <c r="B1166" s="42">
        <v>45974</v>
      </c>
      <c r="C1166">
        <v>1.26</v>
      </c>
      <c r="G1166" s="42" t="s">
        <v>132</v>
      </c>
      <c r="H1166" s="54">
        <v>3.4496318000000001</v>
      </c>
      <c r="I1166" s="53">
        <v>1.47E-2</v>
      </c>
      <c r="J1166" s="54">
        <f t="shared" si="0"/>
        <v>7805.3093922700009</v>
      </c>
      <c r="O1166" s="43">
        <v>2407.6</v>
      </c>
    </row>
    <row r="1167" spans="2:15">
      <c r="B1167" s="42">
        <v>45975</v>
      </c>
      <c r="C1167">
        <v>0.97597</v>
      </c>
      <c r="G1167" s="42" t="s">
        <v>133</v>
      </c>
      <c r="H1167" s="54">
        <v>3.2820480000000001</v>
      </c>
      <c r="I1167" s="53">
        <v>1.3999999999999999E-2</v>
      </c>
      <c r="J1167" s="54">
        <f t="shared" si="0"/>
        <v>7426.1259072000003</v>
      </c>
      <c r="O1167" s="43">
        <v>2427.6999999999998</v>
      </c>
    </row>
    <row r="1168" spans="2:15">
      <c r="B1168" s="42">
        <v>45978</v>
      </c>
      <c r="C1168">
        <v>0.92003999999999997</v>
      </c>
      <c r="G1168" s="42" t="s">
        <v>134</v>
      </c>
      <c r="H1168" s="54">
        <v>1.8865000000000001</v>
      </c>
      <c r="I1168" s="53">
        <v>8.0000000000000002E-3</v>
      </c>
      <c r="J1168" s="54">
        <f t="shared" si="0"/>
        <v>4268.4892250000003</v>
      </c>
      <c r="O1168" s="43">
        <v>2425</v>
      </c>
    </row>
    <row r="1169" spans="2:15">
      <c r="B1169" s="42">
        <v>45979</v>
      </c>
      <c r="C1169">
        <v>1.23</v>
      </c>
      <c r="O1169" s="43">
        <v>2404</v>
      </c>
    </row>
    <row r="1170" spans="2:15">
      <c r="B1170" s="42">
        <v>45980</v>
      </c>
      <c r="C1170">
        <v>1.47</v>
      </c>
      <c r="O1170" s="43">
        <v>2441.6</v>
      </c>
    </row>
    <row r="1171" spans="2:15">
      <c r="B1171" s="42">
        <v>45981</v>
      </c>
      <c r="C1171">
        <v>1.4</v>
      </c>
      <c r="G1171" s="42" t="s">
        <v>141</v>
      </c>
      <c r="H1171" s="39">
        <v>0.61899999999999999</v>
      </c>
      <c r="O1171" s="43">
        <v>2428.4</v>
      </c>
    </row>
    <row r="1172" spans="2:15">
      <c r="B1172" s="42">
        <v>45982</v>
      </c>
      <c r="C1172">
        <v>1.84</v>
      </c>
      <c r="G1172" s="42" t="s">
        <v>140</v>
      </c>
      <c r="H1172" s="39">
        <v>0.1071</v>
      </c>
      <c r="O1172" s="43">
        <v>2433.6999999999998</v>
      </c>
    </row>
    <row r="1173" spans="2:15">
      <c r="B1173" s="42">
        <v>45985</v>
      </c>
      <c r="C1173">
        <v>4.09</v>
      </c>
      <c r="G1173" s="42" t="s">
        <v>142</v>
      </c>
      <c r="H1173" s="39">
        <v>0.15679999999999999</v>
      </c>
      <c r="O1173" s="43">
        <v>2424.1999999999998</v>
      </c>
    </row>
    <row r="1174" spans="2:15">
      <c r="B1174" s="42">
        <v>45986</v>
      </c>
      <c r="C1174">
        <v>1.24</v>
      </c>
      <c r="G1174" s="42" t="s">
        <v>143</v>
      </c>
      <c r="H1174" s="39">
        <f>11.64%+0.07%</f>
        <v>0.11710000000000001</v>
      </c>
      <c r="O1174" s="43">
        <v>2414.1</v>
      </c>
    </row>
    <row r="1175" spans="2:15">
      <c r="B1175" s="42">
        <v>45987</v>
      </c>
      <c r="C1175">
        <v>1.24</v>
      </c>
      <c r="G1175" s="42"/>
      <c r="H1175" s="39"/>
      <c r="O1175" s="43">
        <v>2425.1999999999998</v>
      </c>
    </row>
    <row r="1176" spans="2:15">
      <c r="B1176" s="42">
        <v>45988</v>
      </c>
      <c r="C1176">
        <v>1.87</v>
      </c>
      <c r="O1176" s="43">
        <v>2451.6999999999998</v>
      </c>
    </row>
    <row r="1177" spans="2:15">
      <c r="B1177" s="42">
        <v>45989</v>
      </c>
      <c r="C1177">
        <v>0.97323000000000004</v>
      </c>
      <c r="O1177" s="43">
        <v>2426.33</v>
      </c>
    </row>
    <row r="1178" spans="2:15">
      <c r="B1178" s="42">
        <v>45992</v>
      </c>
      <c r="C1178">
        <v>1.92</v>
      </c>
      <c r="O1178" s="43">
        <v>2424.2600000000002</v>
      </c>
    </row>
    <row r="1179" spans="2:15">
      <c r="B1179" s="42">
        <v>45993</v>
      </c>
      <c r="C1179">
        <v>2.1800000000000002</v>
      </c>
      <c r="O1179" s="43">
        <v>2437.34</v>
      </c>
    </row>
    <row r="1180" spans="2:15">
      <c r="B1180" s="42">
        <v>45994</v>
      </c>
      <c r="C1180">
        <v>3.54</v>
      </c>
      <c r="O1180" s="43">
        <v>2408.0300000000002</v>
      </c>
    </row>
    <row r="1181" spans="2:15">
      <c r="B1181" s="42">
        <v>45995</v>
      </c>
      <c r="C1181">
        <v>2.59</v>
      </c>
      <c r="O1181" s="43">
        <v>2422</v>
      </c>
    </row>
    <row r="1182" spans="2:15">
      <c r="B1182" s="42">
        <v>45996</v>
      </c>
      <c r="C1182">
        <v>4.01</v>
      </c>
      <c r="O1182" s="43">
        <v>2338.6</v>
      </c>
    </row>
    <row r="1183" spans="2:15">
      <c r="B1183" s="42">
        <v>45999</v>
      </c>
      <c r="C1183">
        <v>1.9</v>
      </c>
      <c r="O1183" s="43">
        <v>2314</v>
      </c>
    </row>
    <row r="1184" spans="2:15">
      <c r="B1184" s="42">
        <v>46000</v>
      </c>
      <c r="C1184">
        <v>1.47</v>
      </c>
      <c r="O1184" s="43">
        <v>2306.5</v>
      </c>
    </row>
    <row r="1185" spans="2:15">
      <c r="B1185" s="42">
        <v>46001</v>
      </c>
      <c r="C1185">
        <v>2.86</v>
      </c>
      <c r="O1185" s="43">
        <v>2301.6999999999998</v>
      </c>
    </row>
    <row r="1186" spans="2:15">
      <c r="B1186" s="42">
        <v>46002</v>
      </c>
      <c r="C1186">
        <v>1.1100000000000001</v>
      </c>
      <c r="O1186" s="43">
        <v>2305.6</v>
      </c>
    </row>
    <row r="1187" spans="2:15">
      <c r="B1187" s="42">
        <v>46003</v>
      </c>
      <c r="C1187">
        <v>3.2</v>
      </c>
      <c r="O1187" s="43">
        <v>2260.6</v>
      </c>
    </row>
    <row r="1188" spans="2:15">
      <c r="B1188" s="42">
        <v>46006</v>
      </c>
      <c r="C1188">
        <v>1.27</v>
      </c>
      <c r="O1188" s="43">
        <v>2293.5</v>
      </c>
    </row>
    <row r="1189" spans="2:15">
      <c r="B1189" s="42">
        <v>46007</v>
      </c>
      <c r="C1189">
        <v>1.26</v>
      </c>
      <c r="O1189" s="43">
        <v>2281.1</v>
      </c>
    </row>
    <row r="1190" spans="2:15">
      <c r="B1190" s="42">
        <v>46008</v>
      </c>
      <c r="C1190">
        <v>0.80810000000000004</v>
      </c>
      <c r="O1190" s="43">
        <v>2275.6</v>
      </c>
    </row>
    <row r="1191" spans="2:15">
      <c r="B1191" s="42">
        <v>46009</v>
      </c>
      <c r="C1191">
        <v>1.06</v>
      </c>
      <c r="O1191" s="43">
        <v>2265.5</v>
      </c>
    </row>
    <row r="1192" spans="2:15">
      <c r="B1192" s="42">
        <v>46010</v>
      </c>
      <c r="C1192">
        <v>1.24</v>
      </c>
      <c r="O1192" s="43">
        <v>2280</v>
      </c>
    </row>
    <row r="1193" spans="2:15">
      <c r="B1193" s="42">
        <v>46013</v>
      </c>
      <c r="C1193">
        <v>0.79076999999999997</v>
      </c>
      <c r="O1193" s="43">
        <v>2289.5</v>
      </c>
    </row>
    <row r="1194" spans="2:15">
      <c r="B1194" s="42">
        <v>46014</v>
      </c>
      <c r="C1194">
        <v>1.1299999999999999</v>
      </c>
      <c r="O1194" s="43">
        <v>2302.6</v>
      </c>
    </row>
    <row r="1195" spans="2:15">
      <c r="B1195" s="42">
        <v>46015</v>
      </c>
      <c r="C1195">
        <v>0.51937999999999995</v>
      </c>
      <c r="O1195" s="43">
        <v>2282.1999999999998</v>
      </c>
    </row>
    <row r="1196" spans="2:15">
      <c r="B1196" s="42">
        <v>46017</v>
      </c>
      <c r="C1196">
        <v>0.53363000000000005</v>
      </c>
      <c r="O1196" s="43">
        <v>2285.4</v>
      </c>
    </row>
    <row r="1197" spans="2:15">
      <c r="B1197" s="42">
        <v>46020</v>
      </c>
      <c r="C1197">
        <v>1.0900000000000001</v>
      </c>
      <c r="O1197" s="43">
        <v>2293.3000000000002</v>
      </c>
    </row>
    <row r="1198" spans="2:15">
      <c r="B1198" s="42">
        <v>46021</v>
      </c>
      <c r="C1198">
        <v>1.56</v>
      </c>
      <c r="O1198" s="43">
        <v>2290.1999999999998</v>
      </c>
    </row>
    <row r="1199" spans="2:15">
      <c r="B1199" s="42">
        <v>46022</v>
      </c>
      <c r="C1199">
        <v>1.32</v>
      </c>
      <c r="O1199" s="43">
        <v>2315.9</v>
      </c>
    </row>
    <row r="1200" spans="2:15">
      <c r="B1200" s="42">
        <v>46023</v>
      </c>
      <c r="C1200">
        <v>0.75887000000000004</v>
      </c>
      <c r="O1200" s="43">
        <v>2323</v>
      </c>
    </row>
    <row r="1201" spans="2:15">
      <c r="B1201" s="42">
        <v>46024</v>
      </c>
      <c r="C1201">
        <v>0.97341</v>
      </c>
      <c r="O1201" s="43">
        <v>2348</v>
      </c>
    </row>
    <row r="1202" spans="2:15">
      <c r="B1202" s="42">
        <v>46027</v>
      </c>
      <c r="C1202">
        <v>1.34</v>
      </c>
      <c r="O1202" s="43">
        <v>2384.1</v>
      </c>
    </row>
    <row r="1203" spans="2:15">
      <c r="B1203" s="42">
        <v>46028</v>
      </c>
      <c r="C1203">
        <v>1.58</v>
      </c>
      <c r="O1203" s="43">
        <v>2424.6999999999998</v>
      </c>
    </row>
    <row r="1204" spans="2:15">
      <c r="B1204" s="42">
        <v>46029</v>
      </c>
      <c r="C1204">
        <v>0.89268999999999998</v>
      </c>
      <c r="O1204" s="43">
        <v>2399.4</v>
      </c>
    </row>
    <row r="1205" spans="2:15">
      <c r="B1205" s="42">
        <v>46030</v>
      </c>
      <c r="C1205">
        <v>1.1599999999999999</v>
      </c>
      <c r="O1205" s="43">
        <v>2386.6999999999998</v>
      </c>
    </row>
    <row r="1206" spans="2:15">
      <c r="B1206" s="42">
        <v>46031</v>
      </c>
      <c r="C1206">
        <v>1.19</v>
      </c>
      <c r="O1206" s="43">
        <v>2372.6</v>
      </c>
    </row>
    <row r="1207" spans="2:15">
      <c r="B1207" s="42">
        <v>46034</v>
      </c>
      <c r="C1207">
        <v>1.06</v>
      </c>
      <c r="O1207" s="43">
        <v>2406.1999999999998</v>
      </c>
    </row>
    <row r="1208" spans="2:15">
      <c r="B1208" s="42">
        <v>46035</v>
      </c>
      <c r="C1208">
        <v>1.52</v>
      </c>
      <c r="O1208" s="43">
        <v>2389.5</v>
      </c>
    </row>
    <row r="1209" spans="2:15">
      <c r="B1209" s="42">
        <v>46036</v>
      </c>
      <c r="C1209">
        <v>1.03</v>
      </c>
      <c r="O1209" s="43">
        <v>2353.5</v>
      </c>
    </row>
    <row r="1210" spans="2:15">
      <c r="B1210" s="42">
        <v>46038</v>
      </c>
      <c r="C1210">
        <v>1.37</v>
      </c>
      <c r="O1210" s="43">
        <v>2360.4</v>
      </c>
    </row>
    <row r="1211" spans="2:15">
      <c r="B1211" s="42">
        <v>46041</v>
      </c>
      <c r="C1211">
        <v>1.51</v>
      </c>
      <c r="O1211" s="43">
        <v>2413.9</v>
      </c>
    </row>
    <row r="1212" spans="2:15">
      <c r="B1212" s="42">
        <v>46042</v>
      </c>
      <c r="C1212">
        <v>1.46</v>
      </c>
      <c r="O1212" s="43">
        <v>2379.1</v>
      </c>
    </row>
    <row r="1213" spans="2:15">
      <c r="B1213" s="42">
        <v>46043</v>
      </c>
      <c r="C1213">
        <v>1.02</v>
      </c>
      <c r="O1213" s="43">
        <v>2368</v>
      </c>
    </row>
    <row r="1214" spans="2:15">
      <c r="B1214" s="42">
        <v>46044</v>
      </c>
      <c r="C1214">
        <v>1.75</v>
      </c>
      <c r="O1214" s="43">
        <v>2390.6</v>
      </c>
    </row>
    <row r="1215" spans="2:15">
      <c r="B1215" s="42">
        <v>46045</v>
      </c>
      <c r="C1215">
        <v>1.38</v>
      </c>
      <c r="O1215" s="43">
        <v>2409.5</v>
      </c>
    </row>
    <row r="1216" spans="2:15">
      <c r="B1216" s="42">
        <v>46049</v>
      </c>
      <c r="C1216">
        <v>2.06</v>
      </c>
      <c r="O1216" s="43">
        <v>2400.9</v>
      </c>
    </row>
    <row r="1217" spans="2:15">
      <c r="B1217" s="42">
        <v>46050</v>
      </c>
      <c r="C1217">
        <v>1.8</v>
      </c>
      <c r="O1217" s="43">
        <v>2378.4</v>
      </c>
    </row>
    <row r="1218" spans="2:15">
      <c r="B1218" s="42">
        <v>46051</v>
      </c>
      <c r="C1218">
        <v>1.48</v>
      </c>
      <c r="O1218" s="43">
        <v>2352.6</v>
      </c>
    </row>
    <row r="1219" spans="2:15">
      <c r="B1219" s="42">
        <v>46052</v>
      </c>
      <c r="C1219">
        <v>2.09</v>
      </c>
      <c r="O1219" s="43">
        <v>2373</v>
      </c>
    </row>
    <row r="1220" spans="2:15">
      <c r="B1220" s="42">
        <v>46054</v>
      </c>
      <c r="C1220">
        <v>0.78037999999999996</v>
      </c>
      <c r="O1220" s="43">
        <v>2350.6999999999998</v>
      </c>
    </row>
    <row r="1221" spans="2:15">
      <c r="B1221" s="42">
        <v>46055</v>
      </c>
      <c r="C1221">
        <v>1.38</v>
      </c>
      <c r="O1221" s="43">
        <v>2357.3000000000002</v>
      </c>
    </row>
    <row r="1222" spans="2:15">
      <c r="B1222" s="42">
        <v>46056</v>
      </c>
      <c r="C1222">
        <v>1.55</v>
      </c>
      <c r="O1222" s="43">
        <v>2368.6</v>
      </c>
    </row>
    <row r="1223" spans="2:15">
      <c r="B1223" s="42">
        <v>46057</v>
      </c>
      <c r="C1223">
        <v>1.23</v>
      </c>
      <c r="O1223" s="43">
        <v>2371</v>
      </c>
    </row>
    <row r="1224" spans="2:15">
      <c r="B1224" s="42">
        <v>46058</v>
      </c>
      <c r="C1224">
        <v>1.96</v>
      </c>
      <c r="O1224" s="43">
        <v>2354.4</v>
      </c>
    </row>
    <row r="1225" spans="2:15">
      <c r="B1225" s="42">
        <v>46059</v>
      </c>
      <c r="C1225">
        <v>1.42</v>
      </c>
      <c r="O1225" s="43">
        <v>2424.1999999999998</v>
      </c>
    </row>
    <row r="1226" spans="2:15">
      <c r="B1226" s="42">
        <v>46062</v>
      </c>
      <c r="C1226">
        <v>0.95848</v>
      </c>
      <c r="O1226" s="43">
        <v>2435</v>
      </c>
    </row>
    <row r="1227" spans="2:15">
      <c r="B1227" s="42">
        <v>46063</v>
      </c>
      <c r="C1227">
        <v>0.79252999999999996</v>
      </c>
      <c r="O1227" s="43">
        <v>2453.6</v>
      </c>
    </row>
    <row r="1228" spans="2:15">
      <c r="B1228" s="42">
        <v>46064</v>
      </c>
      <c r="C1228">
        <v>1.1399999999999999</v>
      </c>
      <c r="O1228" s="43">
        <v>2462.9</v>
      </c>
    </row>
    <row r="1229" spans="2:15">
      <c r="B1229" s="42">
        <v>46065</v>
      </c>
      <c r="C1229">
        <v>4.66</v>
      </c>
      <c r="O1229" s="43">
        <v>2409.6999999999998</v>
      </c>
    </row>
    <row r="1230" spans="2:15">
      <c r="B1230" s="42">
        <v>46066</v>
      </c>
      <c r="C1230">
        <v>2.79</v>
      </c>
      <c r="O1230" s="43">
        <v>2305.1999999999998</v>
      </c>
    </row>
    <row r="1231" spans="2:15">
      <c r="B1231" s="42">
        <v>46069</v>
      </c>
      <c r="C1231">
        <v>2.04</v>
      </c>
      <c r="O1231" s="43">
        <v>2319</v>
      </c>
    </row>
    <row r="1232" spans="2:15">
      <c r="B1232" s="42">
        <v>46070</v>
      </c>
      <c r="C1232">
        <v>1.23</v>
      </c>
      <c r="O1232" s="43">
        <v>2312.3000000000002</v>
      </c>
    </row>
    <row r="1233" spans="2:15">
      <c r="B1233" s="42">
        <v>46071</v>
      </c>
      <c r="C1233">
        <v>0.83079000000000003</v>
      </c>
      <c r="O1233" s="43">
        <v>2323.5</v>
      </c>
    </row>
    <row r="1234" spans="2:15">
      <c r="B1234" s="42">
        <v>46072</v>
      </c>
      <c r="C1234">
        <v>0.94018000000000002</v>
      </c>
      <c r="O1234" s="43">
        <v>2279.3000000000002</v>
      </c>
    </row>
    <row r="1235" spans="2:15">
      <c r="B1235" s="42">
        <v>46073</v>
      </c>
      <c r="C1235">
        <v>1.72</v>
      </c>
      <c r="O1235" s="43">
        <v>2314.5</v>
      </c>
    </row>
    <row r="1236" spans="2:15">
      <c r="B1236" s="42">
        <v>46076</v>
      </c>
      <c r="C1236">
        <v>1.3</v>
      </c>
      <c r="O1236" s="43">
        <v>2345.4</v>
      </c>
    </row>
    <row r="1237" spans="2:15">
      <c r="B1237" s="42">
        <v>46077</v>
      </c>
      <c r="C1237">
        <v>1.54</v>
      </c>
      <c r="O1237" s="43">
        <v>2358.6</v>
      </c>
    </row>
    <row r="1238" spans="2:15">
      <c r="B1238" s="42">
        <v>46078</v>
      </c>
      <c r="C1238">
        <v>1.1599999999999999</v>
      </c>
      <c r="O1238" s="43">
        <v>2374.9</v>
      </c>
    </row>
    <row r="1239" spans="2:15">
      <c r="B1239" s="42">
        <v>46079</v>
      </c>
      <c r="C1239">
        <v>1.47</v>
      </c>
      <c r="O1239" s="43">
        <v>2383.3000000000002</v>
      </c>
    </row>
    <row r="1240" spans="2:15">
      <c r="B1240" s="42">
        <v>46080</v>
      </c>
      <c r="C1240">
        <v>3.05</v>
      </c>
      <c r="O1240" s="43">
        <v>2338.1</v>
      </c>
    </row>
    <row r="1241" spans="2:15">
      <c r="B1241" s="42">
        <v>46083</v>
      </c>
      <c r="C1241">
        <v>2.27</v>
      </c>
      <c r="O1241" s="43">
        <v>2320.6</v>
      </c>
    </row>
    <row r="1242" spans="2:15">
      <c r="B1242" s="42">
        <v>46085</v>
      </c>
      <c r="C1242">
        <v>2.65</v>
      </c>
      <c r="O1242" s="43">
        <v>2261.3000000000002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One Page Profile</vt:lpstr>
      <vt:lpstr>Data&gt;</vt:lpstr>
      <vt:lpstr>Data Sheet</vt:lpstr>
      <vt:lpstr>Profit &amp; Loss</vt:lpstr>
      <vt:lpstr>Quarters</vt:lpstr>
      <vt:lpstr>Cash Flow</vt:lpstr>
      <vt:lpstr>Balance Sheet</vt:lpstr>
      <vt:lpstr>Input Sheet</vt:lpstr>
      <vt:lpstr>Raw Data</vt:lpstr>
      <vt:lpstr>'One Page Profile'!Print_Area</vt:lpstr>
      <vt:lpstr>UPDATE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UTKARSH</cp:lastModifiedBy>
  <cp:lastPrinted>2026-03-05T11:02:17Z</cp:lastPrinted>
  <dcterms:created xsi:type="dcterms:W3CDTF">2012-08-17T09:55:37Z</dcterms:created>
  <dcterms:modified xsi:type="dcterms:W3CDTF">2026-03-05T11:13:28Z</dcterms:modified>
</cp:coreProperties>
</file>